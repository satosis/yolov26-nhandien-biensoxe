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Đại Lộ Xanh\file mẫu\"/>
    </mc:Choice>
  </mc:AlternateContent>
  <xr:revisionPtr revIDLastSave="0" documentId="13_ncr:1_{A117767F-483D-4EF9-AC19-C745AFCCD6D9}" xr6:coauthVersionLast="47" xr6:coauthVersionMax="47" xr10:uidLastSave="{00000000-0000-0000-0000-000000000000}"/>
  <bookViews>
    <workbookView xWindow="-108" yWindow="-108" windowWidth="23256" windowHeight="12576" activeTab="2" xr2:uid="{42F5B30D-D9DA-472B-8CA9-EEF8F059C835}"/>
  </bookViews>
  <sheets>
    <sheet name="DSKH" sheetId="3" r:id="rId1"/>
    <sheet name="Hợp đồng " sheetId="1" r:id="rId2"/>
    <sheet name="DATA" sheetId="2" r:id="rId3"/>
    <sheet name="BBVC" sheetId="4" r:id="rId4"/>
    <sheet name="BBTLHĐ" sheetId="7" r:id="rId5"/>
    <sheet name="ĐNTT" sheetId="6" r:id="rId6"/>
  </sheets>
  <externalReferences>
    <externalReference r:id="rId7"/>
  </externalReferences>
  <definedNames>
    <definedName name="_xlnm.Print_Area" localSheetId="4">BBTLHĐ!$A$1:$N$47</definedName>
    <definedName name="_xlnm.Print_Area" localSheetId="3">BBVC!$B$1:$O$45</definedName>
    <definedName name="_xlnm.Print_Area" localSheetId="5">ĐNTT!$A$1:$K$32</definedName>
    <definedName name="_xlnm.Print_Area" localSheetId="1">'Hợp đồng '!$A$1:$Q$104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0" i="2" l="1"/>
  <c r="E110" i="2"/>
  <c r="F110" i="2"/>
  <c r="K110" i="2"/>
  <c r="A109" i="2"/>
  <c r="E109" i="2"/>
  <c r="F109" i="2"/>
  <c r="K109" i="2"/>
  <c r="A108" i="2"/>
  <c r="E108" i="2"/>
  <c r="F108" i="2"/>
  <c r="K108" i="2"/>
  <c r="A107" i="2"/>
  <c r="E107" i="2"/>
  <c r="F107" i="2"/>
  <c r="K107" i="2"/>
  <c r="A106" i="2"/>
  <c r="E106" i="2"/>
  <c r="F106" i="2"/>
  <c r="K106" i="2"/>
  <c r="A105" i="2" l="1"/>
  <c r="E105" i="2"/>
  <c r="F105" i="2"/>
  <c r="K105" i="2"/>
  <c r="A103" i="2" l="1"/>
  <c r="A104" i="2"/>
  <c r="E103" i="2"/>
  <c r="F103" i="2"/>
  <c r="K103" i="2"/>
  <c r="K104" i="2"/>
  <c r="A100" i="2" l="1"/>
  <c r="A101" i="2"/>
  <c r="A102" i="2"/>
  <c r="E100" i="2"/>
  <c r="E101" i="2"/>
  <c r="E102" i="2"/>
  <c r="F100" i="2"/>
  <c r="F101" i="2"/>
  <c r="F102" i="2"/>
  <c r="K100" i="2"/>
  <c r="K101" i="2"/>
  <c r="K102" i="2"/>
  <c r="E99" i="2"/>
  <c r="C97" i="2"/>
  <c r="C98" i="2" s="1"/>
  <c r="A96" i="2"/>
  <c r="A97" i="2"/>
  <c r="A98" i="2"/>
  <c r="A99" i="2"/>
  <c r="E96" i="2"/>
  <c r="E97" i="2"/>
  <c r="F96" i="2"/>
  <c r="F97" i="2"/>
  <c r="F99" i="2"/>
  <c r="K96" i="2"/>
  <c r="K97" i="2"/>
  <c r="K98" i="2"/>
  <c r="K99" i="2"/>
  <c r="A95" i="2"/>
  <c r="E95" i="2"/>
  <c r="F95" i="2"/>
  <c r="K95" i="2"/>
  <c r="F92" i="2"/>
  <c r="E92" i="2"/>
  <c r="F91" i="2"/>
  <c r="E91" i="2"/>
  <c r="A94" i="2"/>
  <c r="E94" i="2"/>
  <c r="F94" i="2"/>
  <c r="K94" i="2"/>
  <c r="A93" i="2"/>
  <c r="K93" i="2"/>
  <c r="F93" i="2"/>
  <c r="E93" i="2"/>
  <c r="A92" i="2"/>
  <c r="K92" i="2"/>
  <c r="A91" i="2"/>
  <c r="K91" i="2"/>
  <c r="A90" i="2"/>
  <c r="E90" i="2"/>
  <c r="F90" i="2"/>
  <c r="K90" i="2"/>
  <c r="A89" i="2"/>
  <c r="E89" i="2"/>
  <c r="F89" i="2"/>
  <c r="K89" i="2"/>
  <c r="A88" i="2"/>
  <c r="E88" i="2"/>
  <c r="F88" i="2"/>
  <c r="K88" i="2"/>
  <c r="A87" i="2"/>
  <c r="E87" i="2"/>
  <c r="F87" i="2"/>
  <c r="K87" i="2"/>
  <c r="A86" i="2"/>
  <c r="E86" i="2"/>
  <c r="F86" i="2"/>
  <c r="K86" i="2"/>
  <c r="A85" i="2"/>
  <c r="E85" i="2"/>
  <c r="F85" i="2"/>
  <c r="K85" i="2"/>
  <c r="A81" i="2"/>
  <c r="A84" i="2"/>
  <c r="E84" i="2"/>
  <c r="F84" i="2"/>
  <c r="K84" i="2"/>
  <c r="A83" i="2"/>
  <c r="E83" i="2"/>
  <c r="F83" i="2"/>
  <c r="K83" i="2"/>
  <c r="A80" i="2"/>
  <c r="E80" i="2"/>
  <c r="F80" i="2"/>
  <c r="K80" i="2"/>
  <c r="E15" i="4"/>
  <c r="E98" i="2" l="1"/>
  <c r="F98" i="2"/>
  <c r="A82" i="2"/>
  <c r="E81" i="2"/>
  <c r="E82" i="2"/>
  <c r="F81" i="2"/>
  <c r="F82" i="2"/>
  <c r="K81" i="2"/>
  <c r="K82" i="2"/>
  <c r="A78" i="2"/>
  <c r="A79" i="2"/>
  <c r="E78" i="2"/>
  <c r="E79" i="2"/>
  <c r="F78" i="2"/>
  <c r="F79" i="2"/>
  <c r="K78" i="2"/>
  <c r="K79" i="2"/>
  <c r="A77" i="2"/>
  <c r="A76" i="2"/>
  <c r="E76" i="2"/>
  <c r="E77" i="2"/>
  <c r="F76" i="2"/>
  <c r="F77" i="2"/>
  <c r="K76" i="2"/>
  <c r="K77" i="2"/>
  <c r="A75" i="2"/>
  <c r="E75" i="2"/>
  <c r="F75" i="2"/>
  <c r="K75" i="2"/>
  <c r="A74" i="2"/>
  <c r="E74" i="2"/>
  <c r="F74" i="2"/>
  <c r="K74" i="2"/>
  <c r="E73" i="2"/>
  <c r="F73" i="2"/>
  <c r="K73" i="2"/>
  <c r="M21" i="1" l="1"/>
  <c r="B21" i="1"/>
  <c r="A6" i="1"/>
  <c r="A72" i="2"/>
  <c r="A73" i="2" s="1"/>
  <c r="E72" i="2"/>
  <c r="F72" i="2"/>
  <c r="K72" i="2"/>
  <c r="E71" i="2"/>
  <c r="F71" i="2"/>
  <c r="K71" i="2"/>
  <c r="A70" i="2"/>
  <c r="A71" i="2" s="1"/>
  <c r="E70" i="2"/>
  <c r="F70" i="2"/>
  <c r="K70" i="2"/>
  <c r="E69" i="2"/>
  <c r="F69" i="2"/>
  <c r="K69" i="2"/>
  <c r="E68" i="2"/>
  <c r="F68" i="2"/>
  <c r="K68" i="2"/>
  <c r="A67" i="2"/>
  <c r="A68" i="2" s="1"/>
  <c r="A69" i="2" s="1"/>
  <c r="E67" i="2"/>
  <c r="F67" i="2"/>
  <c r="K67" i="2"/>
  <c r="E66" i="2"/>
  <c r="F66" i="2"/>
  <c r="K66" i="2"/>
  <c r="A65" i="2"/>
  <c r="A66" i="2" s="1"/>
  <c r="E65" i="2"/>
  <c r="F65" i="2"/>
  <c r="K65" i="2"/>
  <c r="A64" i="2"/>
  <c r="E64" i="2"/>
  <c r="F64" i="2"/>
  <c r="K64" i="2"/>
  <c r="F63" i="2"/>
  <c r="E63" i="2"/>
  <c r="F62" i="2"/>
  <c r="E62" i="2"/>
  <c r="K62" i="2"/>
  <c r="K63" i="2"/>
  <c r="E61" i="2" l="1"/>
  <c r="E60" i="2"/>
  <c r="F61" i="2"/>
  <c r="K61" i="2"/>
  <c r="A60" i="2"/>
  <c r="A61" i="2" s="1"/>
  <c r="A62" i="2" s="1"/>
  <c r="A63" i="2" s="1"/>
  <c r="F60" i="2"/>
  <c r="K60" i="2"/>
  <c r="E59" i="2"/>
  <c r="F59" i="2"/>
  <c r="K59" i="2"/>
  <c r="E57" i="2"/>
  <c r="E58" i="2"/>
  <c r="F57" i="2"/>
  <c r="F58" i="2"/>
  <c r="K57" i="2"/>
  <c r="K58" i="2"/>
  <c r="E56" i="2"/>
  <c r="F56" i="2"/>
  <c r="K56" i="2"/>
  <c r="E54" i="2"/>
  <c r="E55" i="2"/>
  <c r="F54" i="2"/>
  <c r="F55" i="2"/>
  <c r="K54" i="2"/>
  <c r="K55" i="2"/>
  <c r="E52" i="2"/>
  <c r="E53" i="2"/>
  <c r="F52" i="2"/>
  <c r="F53" i="2"/>
  <c r="K52" i="2"/>
  <c r="K53" i="2"/>
  <c r="E51" i="2"/>
  <c r="F51" i="2"/>
  <c r="K51" i="2"/>
  <c r="A50" i="2" l="1"/>
  <c r="A51" i="2" s="1"/>
  <c r="A52" i="2" s="1"/>
  <c r="A53" i="2" s="1"/>
  <c r="A54" i="2" s="1"/>
  <c r="A55" i="2" s="1"/>
  <c r="A56" i="2" s="1"/>
  <c r="A57" i="2" s="1"/>
  <c r="A58" i="2" s="1"/>
  <c r="A59" i="2" s="1"/>
  <c r="E50" i="2"/>
  <c r="F50" i="2"/>
  <c r="K50" i="2"/>
  <c r="E49" i="2"/>
  <c r="F49" i="2"/>
  <c r="K49" i="2"/>
  <c r="A48" i="2"/>
  <c r="A49" i="2" s="1"/>
  <c r="E48" i="2"/>
  <c r="F48" i="2"/>
  <c r="K48" i="2"/>
  <c r="E47" i="2"/>
  <c r="F47" i="2"/>
  <c r="K47" i="2"/>
  <c r="E46" i="2"/>
  <c r="F46" i="2"/>
  <c r="K46" i="2"/>
  <c r="E45" i="2"/>
  <c r="F45" i="2"/>
  <c r="K45" i="2"/>
  <c r="F43" i="2"/>
  <c r="E43" i="2"/>
  <c r="E44" i="2"/>
  <c r="F44" i="2"/>
  <c r="K44" i="2"/>
  <c r="A43" i="2"/>
  <c r="A44" i="2" s="1"/>
  <c r="A45" i="2" s="1"/>
  <c r="A46" i="2" s="1"/>
  <c r="A47" i="2" s="1"/>
  <c r="K43" i="2"/>
  <c r="A42" i="2"/>
  <c r="E42" i="2"/>
  <c r="F42" i="2"/>
  <c r="K42" i="2"/>
  <c r="A41" i="2"/>
  <c r="E41" i="2"/>
  <c r="F41" i="2"/>
  <c r="K41" i="2"/>
  <c r="E40" i="2"/>
  <c r="F40" i="2"/>
  <c r="K40" i="2"/>
  <c r="E39" i="2"/>
  <c r="F39" i="2"/>
  <c r="K39" i="2"/>
  <c r="E38" i="2"/>
  <c r="F38" i="2"/>
  <c r="K38" i="2"/>
  <c r="E36" i="2"/>
  <c r="E37" i="2"/>
  <c r="F36" i="2"/>
  <c r="F37" i="2"/>
  <c r="K36" i="2"/>
  <c r="K37" i="2"/>
  <c r="A34" i="2"/>
  <c r="A35" i="2"/>
  <c r="A36" i="2" s="1"/>
  <c r="A37" i="2" s="1"/>
  <c r="E34" i="2"/>
  <c r="E35" i="2"/>
  <c r="F34" i="2"/>
  <c r="F35" i="2"/>
  <c r="K34" i="2"/>
  <c r="K35" i="2"/>
  <c r="F33" i="2"/>
  <c r="E33" i="2"/>
  <c r="F32" i="2"/>
  <c r="E32" i="2"/>
  <c r="F31" i="2"/>
  <c r="E31" i="2"/>
  <c r="K33" i="2"/>
  <c r="K32" i="2"/>
  <c r="K31" i="2"/>
  <c r="A38" i="2" l="1"/>
  <c r="A39" i="2" s="1"/>
  <c r="A40" i="2" s="1"/>
  <c r="E30" i="2" l="1"/>
  <c r="F30" i="2"/>
  <c r="K30" i="2"/>
  <c r="B15" i="7"/>
  <c r="K14" i="7"/>
  <c r="M20" i="1"/>
  <c r="B14" i="7"/>
  <c r="B20" i="1"/>
  <c r="B13" i="7"/>
  <c r="B17" i="1"/>
  <c r="C12" i="7"/>
  <c r="F8" i="7"/>
  <c r="H10" i="7" s="1"/>
  <c r="B11" i="7"/>
  <c r="C16" i="1"/>
  <c r="F15" i="1"/>
  <c r="K8" i="2"/>
  <c r="K9" i="2"/>
  <c r="K10" i="2"/>
  <c r="K11" i="2"/>
  <c r="K12" i="2"/>
  <c r="K13" i="2"/>
  <c r="K14" i="2"/>
  <c r="K15" i="2"/>
  <c r="K16" i="2"/>
  <c r="K17" i="2"/>
  <c r="K18" i="2"/>
  <c r="K19" i="2"/>
  <c r="K20" i="2"/>
  <c r="K21" i="2"/>
  <c r="K22" i="2"/>
  <c r="K23" i="2"/>
  <c r="K24" i="2"/>
  <c r="K25" i="2"/>
  <c r="K26" i="2"/>
  <c r="K27" i="2"/>
  <c r="K28" i="2"/>
  <c r="K29" i="2"/>
  <c r="E29" i="2"/>
  <c r="F29" i="2"/>
  <c r="K111" i="2" l="1"/>
  <c r="A30" i="2"/>
  <c r="A31" i="2" s="1"/>
  <c r="A32" i="2" s="1"/>
  <c r="A33" i="2" s="1"/>
  <c r="A28" i="2"/>
  <c r="A29" i="2" s="1"/>
  <c r="A10" i="2"/>
  <c r="A11" i="2" s="1"/>
  <c r="A12" i="2"/>
  <c r="A16" i="2"/>
  <c r="A19" i="2"/>
  <c r="A20" i="2"/>
  <c r="A8" i="2"/>
  <c r="A9" i="2"/>
  <c r="A13" i="2"/>
  <c r="A14" i="2"/>
  <c r="A21" i="2"/>
  <c r="A22" i="2" s="1"/>
  <c r="E28" i="2"/>
  <c r="F28" i="2"/>
  <c r="E26" i="2"/>
  <c r="E27" i="2"/>
  <c r="F26" i="2"/>
  <c r="F27" i="2"/>
  <c r="E24" i="2"/>
  <c r="E25" i="2"/>
  <c r="F24" i="2"/>
  <c r="F25" i="2"/>
  <c r="L26" i="4" l="1"/>
  <c r="M26" i="4"/>
  <c r="N26" i="4"/>
  <c r="O26" i="4"/>
  <c r="C26" i="4"/>
  <c r="A17" i="2"/>
  <c r="A18" i="2" s="1"/>
  <c r="A23" i="2"/>
  <c r="A15" i="2"/>
  <c r="N24" i="4" s="1"/>
  <c r="A24" i="2"/>
  <c r="A25" i="2" s="1"/>
  <c r="A26" i="2" s="1"/>
  <c r="A27" i="2" s="1"/>
  <c r="E23" i="2"/>
  <c r="F23" i="2"/>
  <c r="E22" i="2"/>
  <c r="F22" i="2"/>
  <c r="G12" i="6"/>
  <c r="F21" i="2"/>
  <c r="E21" i="2"/>
  <c r="E20" i="2"/>
  <c r="F20" i="2"/>
  <c r="N25" i="4" l="1"/>
  <c r="L25" i="4"/>
  <c r="M24" i="4"/>
  <c r="O24" i="4"/>
  <c r="M25" i="4"/>
  <c r="L24" i="4"/>
  <c r="O25" i="4"/>
  <c r="C24" i="4"/>
  <c r="C25" i="4"/>
  <c r="E19" i="2"/>
  <c r="F19" i="2"/>
  <c r="O2" i="6"/>
  <c r="E18" i="2"/>
  <c r="F18" i="2"/>
  <c r="A13" i="6"/>
  <c r="R4" i="4"/>
  <c r="E7" i="4" s="1"/>
  <c r="E11" i="6"/>
  <c r="O27" i="4" l="1"/>
  <c r="O28" i="4" s="1"/>
  <c r="O29" i="4" s="1"/>
  <c r="S5" i="4"/>
  <c r="I5" i="4" s="1"/>
  <c r="N3" i="6"/>
  <c r="F30" i="4"/>
  <c r="E17" i="2" l="1"/>
  <c r="G14" i="4" s="1"/>
  <c r="F17" i="2"/>
  <c r="E16" i="4" s="1"/>
  <c r="E16" i="2"/>
  <c r="F16" i="2"/>
  <c r="E15" i="2"/>
  <c r="F15" i="2"/>
  <c r="E14" i="2" l="1"/>
  <c r="F14" i="2"/>
  <c r="E11" i="2" l="1"/>
  <c r="E13" i="2"/>
  <c r="F13" i="2"/>
  <c r="E12" i="2"/>
  <c r="F12" i="2"/>
  <c r="F11" i="2"/>
  <c r="E10" i="2" l="1"/>
  <c r="F10" i="2"/>
  <c r="B13" i="1" l="1"/>
  <c r="N16" i="1"/>
  <c r="B19" i="1"/>
  <c r="F8" i="2" l="1"/>
  <c r="F9" i="2"/>
  <c r="E8" i="2"/>
  <c r="E9" i="2"/>
  <c r="C9" i="6" s="1"/>
  <c r="N4" i="6" l="1"/>
  <c r="P4" i="6" s="1"/>
  <c r="E12" i="6" l="1"/>
  <c r="K14" i="6"/>
  <c r="A7" i="3" a="1"/>
  <c r="A7" i="3" s="1"/>
  <c r="D1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<sst xmlns="http://schemas.openxmlformats.org/spreadsheetml/2006/main" count="649" uniqueCount="440">
  <si>
    <t>CÔNG TY TNHH VẬN TẢI ĐẠI LỘ XANH</t>
  </si>
  <si>
    <t>MST : 2500774911</t>
  </si>
  <si>
    <t xml:space="preserve">Địa chỉ </t>
  </si>
  <si>
    <t>Địa chỉ : Số nhà 306, đường 303, thôn Giã Bàng, Xã Tề Lỗ, Tỉnh Phú Thọ, Việt Nam</t>
  </si>
  <si>
    <t>Đếm</t>
  </si>
  <si>
    <t>Số HĐ</t>
  </si>
  <si>
    <t>Ngày tháng</t>
  </si>
  <si>
    <t>MST</t>
  </si>
  <si>
    <t>Tên đơn vị</t>
  </si>
  <si>
    <t>Địa chỉ</t>
  </si>
  <si>
    <t>ĐVT</t>
  </si>
  <si>
    <t>Số lượng</t>
  </si>
  <si>
    <t>Thành tiền</t>
  </si>
  <si>
    <t>Đơn giá</t>
  </si>
  <si>
    <t>CỘNG HÒA XÃ HỘI CHỦ NGHĨA VIỆT NAM</t>
  </si>
  <si>
    <t>Độc lập - Tự do - Hạnh phúc</t>
  </si>
  <si>
    <t>BIÊN BẢN VẬN CHUYỂN</t>
  </si>
  <si>
    <t>Đại diện</t>
  </si>
  <si>
    <t>Biển số xe</t>
  </si>
  <si>
    <t>Cộng</t>
  </si>
  <si>
    <t>Tổng thanh toán</t>
  </si>
  <si>
    <t>ĐẠI DIỆN BÊN A</t>
  </si>
  <si>
    <t>(Ký, đóng dấu)</t>
  </si>
  <si>
    <t>ĐẠI DIỆN BÊN B</t>
  </si>
  <si>
    <t>Số nhà 306, đường 303, thôn Giã Bàng, Xã Tề Lỗ, Tỉnh Phú Thọ, Việt Nam</t>
  </si>
  <si>
    <t>Ông NGUYỄN KIM QUYẾT</t>
  </si>
  <si>
    <t>STT</t>
  </si>
  <si>
    <t>Thuế GTGT 8%</t>
  </si>
  <si>
    <t xml:space="preserve">Hai bên cùng nhau xác nhận đã giao nhận đúng, đủ số lượng hàng vận chuyển chuyển theo đúng lộ trình đã </t>
  </si>
  <si>
    <t xml:space="preserve">thống nhất. </t>
  </si>
  <si>
    <t>Số tiền bằng chữ :</t>
  </si>
  <si>
    <t>Tên khách hàng</t>
  </si>
  <si>
    <t>Người đại diện</t>
  </si>
  <si>
    <t>Chức vụ</t>
  </si>
  <si>
    <t>Giám đốc</t>
  </si>
  <si>
    <t>MST :</t>
  </si>
  <si>
    <t xml:space="preserve">MST </t>
  </si>
  <si>
    <t xml:space="preserve">Chức vụ: </t>
  </si>
  <si>
    <t xml:space="preserve">Chức vụ : </t>
  </si>
  <si>
    <t>Chức vụ : Giám đốc</t>
  </si>
  <si>
    <t>Tên hàng hóa ,dịch vụ</t>
  </si>
  <si>
    <t>Tên hàng hàng hóa , dịch vụ</t>
  </si>
  <si>
    <t>Số :</t>
  </si>
  <si>
    <t>Bên B đồng ý giao, Bên A đồng ý nhận vận chuyển hàng hóa, máy móc thiết bị, vật tư với số lượng và đơn</t>
  </si>
  <si>
    <t>Biên bản vận chuyển được lập thành 02 bản, có giá trị pháp lý như nhau, mỗi bên giữ 01 bản.</t>
  </si>
  <si>
    <t>I. NỘI DUNG VẬN CHUYỂN</t>
  </si>
  <si>
    <t xml:space="preserve"> II. KẾT LUẬN</t>
  </si>
  <si>
    <t>----------o0o----------</t>
  </si>
  <si>
    <t>Điện thoại</t>
  </si>
  <si>
    <t>Mã số thuế</t>
  </si>
  <si>
    <t>Tài khoản</t>
  </si>
  <si>
    <r>
      <t>Điều 1</t>
    </r>
    <r>
      <rPr>
        <b/>
        <sz val="13"/>
        <color theme="1"/>
        <rFont val="Times New Roman"/>
        <family val="1"/>
      </rPr>
      <t>: NỘI DUNG CỦA HỢP ĐỒNG</t>
    </r>
  </si>
  <si>
    <r>
      <t>Điều 2</t>
    </r>
    <r>
      <rPr>
        <b/>
        <sz val="13"/>
        <color theme="1"/>
        <rFont val="Times New Roman"/>
        <family val="1"/>
      </rPr>
      <t xml:space="preserve">: ĐƠN GIÁ, KHỐI LƯỢNG, ĐỊA ĐIỂM GIAO NHẬN HÀNG HÓA </t>
    </r>
  </si>
  <si>
    <r>
      <t>Điều 3:</t>
    </r>
    <r>
      <rPr>
        <b/>
        <sz val="13"/>
        <color theme="1"/>
        <rFont val="Times New Roman"/>
        <family val="1"/>
      </rPr>
      <t xml:space="preserve"> PHƯƠNG THỨC THANH TOÁN</t>
    </r>
  </si>
  <si>
    <r>
      <t>Điều 4:</t>
    </r>
    <r>
      <rPr>
        <b/>
        <sz val="13"/>
        <color theme="1"/>
        <rFont val="Times New Roman"/>
        <family val="1"/>
      </rPr>
      <t xml:space="preserve"> TRÁCH NHIỆM MỖI BÊN</t>
    </r>
  </si>
  <si>
    <t>4.1. Bên A:</t>
  </si>
  <si>
    <t>-    Cung cấp cho bên B các hồ sơ chứng từ cần thiết cho việc vận chuyển hàng hóa.</t>
  </si>
  <si>
    <t>-    Chịu trách nhiệm dọn bãi cho xe bên B vào cẩu hàng.</t>
  </si>
  <si>
    <t xml:space="preserve">-    Đảm bảo chất lượng, tiến độ sản phẩm trước khi vận chuyển. </t>
  </si>
  <si>
    <t>-    Bố trí người nhận hàng tại công trình, tạo điều kiện cho Bên B trả hàng nhanh chóng.</t>
  </si>
  <si>
    <t>-    Thanh toán cho bên B theo đúng điều 3 của hợp đồng.</t>
  </si>
  <si>
    <t>4.2. Bên B:</t>
  </si>
  <si>
    <r>
      <t>Điều 5:</t>
    </r>
    <r>
      <rPr>
        <b/>
        <sz val="13"/>
        <color theme="1"/>
        <rFont val="Times New Roman"/>
        <family val="1"/>
      </rPr>
      <t xml:space="preserve"> ĐIỀU KHOẢN CHUNG</t>
    </r>
  </si>
  <si>
    <r>
      <t>Điều 6:</t>
    </r>
    <r>
      <rPr>
        <b/>
        <sz val="13"/>
        <color theme="1"/>
        <rFont val="Times New Roman"/>
        <family val="1"/>
      </rPr>
      <t xml:space="preserve"> HIỆU LỰC CỦA HỢP ĐỒNG</t>
    </r>
  </si>
  <si>
    <t>XANH, chúng tôi đại diện cho các bên tham gia ký kết hợp đồng gồm:</t>
  </si>
  <si>
    <t xml:space="preserve">Đại diện </t>
  </si>
  <si>
    <t>Chức vụ :</t>
  </si>
  <si>
    <t>2.2. Khối lượng hàng hoá chở tối thiểu trên một chuyến theo định mức của bên vận chuyển.</t>
  </si>
  <si>
    <t xml:space="preserve">2.1. Đơn giá áp dụng theo chuyến do hai bên thỏa thuận theo từng thời điểm. </t>
  </si>
  <si>
    <t xml:space="preserve">2.3 Địa điểm giao nhận hàng hóa cụ thể từng chuyến sẽ thông báo theo yêu cầu của bên A. </t>
  </si>
  <si>
    <t>Bên A có trách nhiệm thông báo.</t>
  </si>
  <si>
    <t>HỢP ĐỒNG VẬN CHUYỂN</t>
  </si>
  <si>
    <t>Bên thuê vận chuyển(Bên A):</t>
  </si>
  <si>
    <t>Ông</t>
  </si>
  <si>
    <t xml:space="preserve"> NGUYỄN KIM QUYẾT</t>
  </si>
  <si>
    <t>ngày</t>
  </si>
  <si>
    <t>tháng</t>
  </si>
  <si>
    <t>năm 2026</t>
  </si>
  <si>
    <t xml:space="preserve">Hôm nay, </t>
  </si>
  <si>
    <t>Tại ngân hàng VIETINBANK - PGD Bắc Yên Lạc</t>
  </si>
  <si>
    <t>05</t>
  </si>
  <si>
    <t xml:space="preserve">,tại văn phòng CÔNG TY TNHH VẬN TẢI ĐẠI LỘ </t>
  </si>
  <si>
    <t>NỘI DUNG CÔNG VIỆC GIAO DỊCH :</t>
  </si>
  <si>
    <t>BSX :</t>
  </si>
  <si>
    <t>19H-147.98</t>
  </si>
  <si>
    <r>
      <t>Bên vận chuyển(Bên B)</t>
    </r>
    <r>
      <rPr>
        <b/>
        <sz val="12"/>
        <color theme="1"/>
        <rFont val="Times New Roman"/>
        <family val="1"/>
      </rPr>
      <t xml:space="preserve">: </t>
    </r>
  </si>
  <si>
    <t>Email</t>
  </si>
  <si>
    <t>vantaidailoxanh2026@gmail.com</t>
  </si>
  <si>
    <t>0101439643</t>
  </si>
  <si>
    <t>CÔNG TY TNHH ỨNG DỤNG GIẢI PHÁP CÔNG NGHỆ</t>
  </si>
  <si>
    <t>Số 100 Ngõ 40 Tạ Quang Bửu, Phường Bạch Mai, Thành phố Hà Nội, Việt Nam</t>
  </si>
  <si>
    <t>0106654549</t>
  </si>
  <si>
    <t>CÔNG TY TNHH THIẾT BỊ ĐO LƯỜNG VÀ GIẢI PHÁP CÔNG NGHỆ TRƯỜNG PHÁT</t>
  </si>
  <si>
    <t>Lô 27, Khu A1A2A3, Tổ 7, Phường Long Biên, Thành phố Hà Nội, Việt Nam</t>
  </si>
  <si>
    <t>Cước cẩu vận chuyển bàn cân 18mx3m và quả chuẩn từ Bắc Ninh đi Phổ Yên, Thái Nguyên</t>
  </si>
  <si>
    <t>Chuyến</t>
  </si>
  <si>
    <t>Cước vận chuyển quả cân từ Tề Lỗ, Phú Thọ đi KCN Thăng Long- Hưng Yên</t>
  </si>
  <si>
    <t>Cước vận chuyển bàn cân từ Vĩnh Yên, Phú Thọ đi Gia Bình, Bắc Ninh</t>
  </si>
  <si>
    <t>--------------------</t>
  </si>
  <si>
    <t>Vv: Thanh toán hóa đơn</t>
  </si>
  <si>
    <t>Độc lập – Tự do- Hạnh phúc</t>
  </si>
  <si>
    <t>ĐỀ NGHỊ THANH TOÁN</t>
  </si>
  <si>
    <t>Thông Tin Thụ Hưởng:</t>
  </si>
  <si>
    <t>Xin trân trọng cảm ơn!</t>
  </si>
  <si>
    <r>
      <t>Nơi nhận</t>
    </r>
    <r>
      <rPr>
        <i/>
        <sz val="12"/>
        <color theme="1"/>
        <rFont val="Times New Roman"/>
        <family val="1"/>
      </rPr>
      <t>:</t>
    </r>
  </si>
  <si>
    <r>
      <t>-</t>
    </r>
    <r>
      <rPr>
        <sz val="7"/>
        <color theme="1"/>
        <rFont val="Times New Roman"/>
        <family val="1"/>
      </rPr>
      <t xml:space="preserve">             </t>
    </r>
    <r>
      <rPr>
        <i/>
        <sz val="12"/>
        <color theme="1"/>
        <rFont val="Times New Roman"/>
        <family val="1"/>
      </rPr>
      <t>Như trên</t>
    </r>
  </si>
  <si>
    <r>
      <t>-</t>
    </r>
    <r>
      <rPr>
        <sz val="7"/>
        <color theme="1"/>
        <rFont val="Times New Roman"/>
        <family val="1"/>
      </rPr>
      <t xml:space="preserve">             </t>
    </r>
    <r>
      <rPr>
        <i/>
        <sz val="12"/>
        <color theme="1"/>
        <rFont val="Times New Roman"/>
        <family val="1"/>
      </rPr>
      <t>Lưu VP Công ty</t>
    </r>
  </si>
  <si>
    <r>
      <t>-</t>
    </r>
    <r>
      <rPr>
        <sz val="7"/>
        <color theme="1"/>
        <rFont val="Times New Roman"/>
        <family val="1"/>
      </rPr>
      <t> </t>
    </r>
    <r>
      <rPr>
        <b/>
        <sz val="12.5"/>
        <color theme="1"/>
        <rFont val="Times New Roman"/>
        <family val="1"/>
      </rPr>
      <t>Công Ty TNHH Vận tải Đại Lộ Xanh.</t>
    </r>
  </si>
  <si>
    <t>- Số TK: 110003058298</t>
  </si>
  <si>
    <r>
      <t>-</t>
    </r>
    <r>
      <rPr>
        <sz val="7"/>
        <color theme="1"/>
        <rFont val="Times New Roman"/>
        <family val="1"/>
      </rPr>
      <t> </t>
    </r>
    <r>
      <rPr>
        <b/>
        <sz val="12.5"/>
        <color theme="1"/>
        <rFont val="Times New Roman"/>
        <family val="1"/>
      </rPr>
      <t>Tại Ngân hàng Vietinbank – PGD Bắc Yên Lạc.</t>
    </r>
  </si>
  <si>
    <r>
      <t>Kính gửi</t>
    </r>
    <r>
      <rPr>
        <b/>
        <sz val="12.5"/>
        <color theme="1"/>
        <rFont val="Times New Roman"/>
        <family val="1"/>
      </rPr>
      <t xml:space="preserve">:  </t>
    </r>
  </si>
  <si>
    <t xml:space="preserve">Chúng tôi đã vận chuyển </t>
  </si>
  <si>
    <t>HĐ số :</t>
  </si>
  <si>
    <t>0109796541</t>
  </si>
  <si>
    <t>CÔNG TY TNHH TƯ VẤN KIỂM ĐỊNH VÀ THIẾT BỊ ĐO LƯỜNG</t>
  </si>
  <si>
    <t>Số 24 Liền kề 4, KĐT Đại Thanh, Xã Đại Thanh, Thành phố Hà Nội, Việt Nam</t>
  </si>
  <si>
    <t>Số 84, phố Ngọc Trì, Tổ 7, Phường Long Biên, Thành phố Hà Nội, Việt Nam</t>
  </si>
  <si>
    <t>995 6868 668 668</t>
  </si>
  <si>
    <t>Tại ngân hàng MBBank - CN Trần Hưng Đạo</t>
  </si>
  <si>
    <t>STK 1</t>
  </si>
  <si>
    <t>Ngân hàng 1</t>
  </si>
  <si>
    <t>STK 2</t>
  </si>
  <si>
    <t>Ngân hàng 2</t>
  </si>
  <si>
    <t xml:space="preserve">            --------------------</t>
  </si>
  <si>
    <t xml:space="preserve">Tổng cước vận chuyển là </t>
  </si>
  <si>
    <t xml:space="preserve">       Bằng công văn này, kính đề nghị Quý Công ty thanh toán cho chúng tôi số tiền là: </t>
  </si>
  <si>
    <t>Phú Thọ,</t>
  </si>
  <si>
    <t>Cước vận chuyển quả cân từ Tề Lỗ, Phú Thọ đi KCN Quang Minh, Hà Nội</t>
  </si>
  <si>
    <t>Cước vận chuyển bàn cân từ Công ty Cổ Phần Tuệ An đến Cụm Công Nghiệp Thắng Quân, Tuyên Quang</t>
  </si>
  <si>
    <t>CÔNG TY TNHH KHOA HỌC DỊCH VỤ KỸ THUẬT TÂN THỊNH PHÁT</t>
  </si>
  <si>
    <t>Số nhà 37, Tổ 11, Phường Tích Lương, Tỉnh Thái Nguyên, Việt Nam</t>
  </si>
  <si>
    <t>Tại ngân hàng VIETINBANK - CN Thái Nguyên</t>
  </si>
  <si>
    <t>Cước vận chuyển quả cân từ Tề Lỗ, Phú Thọ đi KCN Thụy Vân, Phú Thọ</t>
  </si>
  <si>
    <t>0107083249</t>
  </si>
  <si>
    <t>CÔNG TY CỎ PHẦN DỊCH VỤ TƯ VẤN VÀ KIỂM ĐỊNH VIỆT NAM</t>
  </si>
  <si>
    <t xml:space="preserve">    Trước tiên xin chân thành cảm ơn quý công ty đã tin tưởng và lựa chọn Công ty chúng tôi.</t>
  </si>
  <si>
    <t>Cước vận chuyển cân đóng bao từ Phú Thọ đi Hưng Yên</t>
  </si>
  <si>
    <t>CÔNG TY TNHH GIẢI PHÁP CÔNG NGHỆ VINACO VIỆT NAM</t>
  </si>
  <si>
    <t>Thôn Vân Nội, Xã Hội Thịnh, Tỉnh Phú Thọ, Việt Nam</t>
  </si>
  <si>
    <t>Cước vận chuyển quả cân từ Tề Lỗ, Phú Thọ đi Suối Hai, Hà Nội</t>
  </si>
  <si>
    <t>Cước vận chuyển quả cân từ Phường Vĩnh Phúc đi Phúc Yên, Phú Thọ</t>
  </si>
  <si>
    <t>CÔNG TY TNHH  MÔI TRƯỜNG CÔNG NGHIỆP XANH</t>
  </si>
  <si>
    <t>Tổ Xuân Mai 1, Phường Phúc Yên, Tỉnh Phú Thọ, Việt Nam</t>
  </si>
  <si>
    <t>CÔNG TY CỔ PHẦN TECON88</t>
  </si>
  <si>
    <t>Số 59 Đường Quang Trung, Phố Tiên, Phường Vĩnh Yên, Tỉnh Phú Thọ, Việt Nam</t>
  </si>
  <si>
    <t>tổng tiền</t>
  </si>
  <si>
    <t>Cước vận chuyển thép hình từ Tề Lỗ, Phú Thọ đến Phường Vĩnh Yên, Phú Thọ</t>
  </si>
  <si>
    <t>vận chuyển</t>
  </si>
  <si>
    <t>địa điểm đến :</t>
  </si>
  <si>
    <t>địa điểm đi :</t>
  </si>
  <si>
    <t>Cước vận chuyển sắt từ Đông Anh về Công ty TNHH Giải Pháp Công Nghệ Vinaco Việt Nam tại Phú Thọ phục vụ sản xuất</t>
  </si>
  <si>
    <t>Cước vận chuyển container từ Tề Lỗ, Phú Thọ đến Ngọc Hồi, Hà Nội</t>
  </si>
  <si>
    <t>0107019878</t>
  </si>
  <si>
    <t>CÔNG TY CỔ PHẦN XÂY DỰNG HẠ TẦNG THỊNH PHÁT</t>
  </si>
  <si>
    <t>Thôn Phú Mỹ, xã Chương Dương, TP. Hà Nội, Việt Nam</t>
  </si>
  <si>
    <t>Tại Ngân hàng VP Bank- Chi nhánh Ngô Quyền – PGD Thái Hà, Hà Nội</t>
  </si>
  <si>
    <t>DƯƠNG VĂN DUÂN</t>
  </si>
  <si>
    <t>0102169887</t>
  </si>
  <si>
    <t>Cước vận chuyển quả chuẩn từ Xã Tề Lỗ , Phú Thọ đến Xã Kỳ Sơn, Phú Thọ</t>
  </si>
  <si>
    <t>CÔNG TY TNHH CÂN ĐIỆN TỬ THẾ HỆ MỚI</t>
  </si>
  <si>
    <t>Cước vận chuyển bàn cân từ Hội Thịnh, Phú Thọ đến KCN Thuỵ Vân, Phú Thọ</t>
  </si>
  <si>
    <t>CÔNG TY CỔ PHẦN CÂN ĐIỆN TỬ VĨNH PHÚC</t>
  </si>
  <si>
    <t>Khu Lai Sơn, Phường Vĩnh Yên, Tỉnh Phú Thọ, Việt Nam</t>
  </si>
  <si>
    <t>TRUNG TÂM KỸ THUẬT TIÊU CHUẨN ĐO LƯỜNG CHẤT LƯỢNG</t>
  </si>
  <si>
    <t>Đường Kim Đồng, Phường Việt Trì, T. Phú Thọ</t>
  </si>
  <si>
    <t>NGUYỄN HỮU HÀ</t>
  </si>
  <si>
    <t>Cước vận chuyển bàn cân từ Vĩnh Yên, Phú Thọ đến Hương Khê, Hà Tĩnh</t>
  </si>
  <si>
    <t>Cước vận chuyển chuẩn và trang thiết bị phục vụ kiểm định 04 cân ô tô từ Trung tâm Kỹ thuật tiêu chuẩn đo lường chất lượng (Phú Thọ) đến Tổng công ty giấy Việt Nam và cẩu phục vụ kiểm định</t>
  </si>
  <si>
    <t>Cước vận chuyển quả chuẩn từ Tề Lỗ, Phú Thọ đi KCN Thuận Thành, Bắc Ninh</t>
  </si>
  <si>
    <t>Cước vận chuyển quả chuẩn từ Tề Lỗ, Phú Thọ đi Hà Nội</t>
  </si>
  <si>
    <t>Cước vận chuyển bàn cân từ Tề Lỗ, Phú Thọ đến bến cát thôn Đa Cai, Xã Sơn Đông, Tỉnh Phú Thọ</t>
  </si>
  <si>
    <t>Cước vận chuyển quả chuẩn phục vụ kiểm định từ Tề Lỗ, Phú Thọ đến bến cát thôn Đa Cai, Xã Sơn Đông, Tỉnh Phú Thọ</t>
  </si>
  <si>
    <t>CÔNG TY TNHH CÁT SỎI THUỶ MỘC PHÁT</t>
  </si>
  <si>
    <t>Thôn Nội, Xã Vĩnh An, Tỉnh Phú Thọ, Việt Nam</t>
  </si>
  <si>
    <t>CÔNG TY TNHH MTV CÔNG NGHỆ ĐO LƯỜNG - ĐIỀU KHIỂN VŨ DUY</t>
  </si>
  <si>
    <t>K428 Tôn Đản, Phường An Khê, Thành phố Đà Nẵng, Việt Nam</t>
  </si>
  <si>
    <t xml:space="preserve">Cước cẩu, vận chuyển quả cân từ Tề Lỗ, Phú Thọ đến Xã Thanh Thịnh, Thái Nguyên </t>
  </si>
  <si>
    <t>CỘNG HOÀ XÃ HỘI CHỦ NGHĨA VIỆT NAM</t>
  </si>
  <si>
    <t>Độc lập – Tự do – Hạnh phúc</t>
  </si>
  <si>
    <t>BIÊN BẢN NGHIỆM THU KIÊM THANH LÝ HỢP ĐỒNG</t>
  </si>
  <si>
    <t>Lê Hồng Phong</t>
  </si>
  <si>
    <t>Nguyễn Hải Đăng</t>
  </si>
  <si>
    <t>-       Căn cứ kết quả thực tế trong quá trình thực hiện hợp đồng đã ký.</t>
  </si>
  <si>
    <t xml:space="preserve">BÊN A  </t>
  </si>
  <si>
    <t>Số nhà 306, Đường 303, Thôn Giã Bàng, Xã Tề Lỗ, Tỉnh Phú Thọ, Việt Nam</t>
  </si>
  <si>
    <t xml:space="preserve">Email </t>
  </si>
  <si>
    <t xml:space="preserve">Hai bên đã cùng nhau kiểm tra xác nhận, đánh giá việc thực hiện các nội dung công việc thỏa thuận theo hợp </t>
  </si>
  <si>
    <t>đồng đã ký như sau:</t>
  </si>
  <si>
    <t xml:space="preserve">lường Chất lượng đến Công ty cổ phần công nghệ FATA (Lô CN01, Khu Công Nghiệp Thụy Vân, Xã Hy </t>
  </si>
  <si>
    <t>Cương, Tỉnh Phú Thọ, Việt Nam) để kiểm định cân ô tô và ngược lại.</t>
  </si>
  <si>
    <t>đồng chẵn./.)(Giá trên đã bao gồm thuế GTGT).</t>
  </si>
  <si>
    <t xml:space="preserve">Tiền mặt hoặc Chuyển khoản.     </t>
  </si>
  <si>
    <t xml:space="preserve">           Hình thức thanh toán:                                                                                                                                                            </t>
  </si>
  <si>
    <t xml:space="preserve">      2. Căn cứ đơn giá theo thỏa thuận tại hợp đồng </t>
  </si>
  <si>
    <t>22052026/HĐKT ký ngày 22 tháng 05 năm 2026 Bên B phải</t>
  </si>
  <si>
    <t>110003058298 Tại ngân hàng Vietinbank - PDG Bắc Yên Lạc</t>
  </si>
  <si>
    <t>STK</t>
  </si>
  <si>
    <t xml:space="preserve"> đồng theo thỏa thuận tại hợp đồng đã ký.</t>
  </si>
  <si>
    <t xml:space="preserve"> vụ việc thanh quyết toán chi phí thực hiện hợp đồng.</t>
  </si>
  <si>
    <t xml:space="preserve">      3. Hai bên thống nhất xác nhận thực hiện hoàn thành các công việc theo thỏa thuận tại Hợp đồng đã ký để phục</t>
  </si>
  <si>
    <t>được đọc lại cho các bên tham dự cùng nghe và nhất trí cùng nhau ký vào biên bản.</t>
  </si>
  <si>
    <t xml:space="preserve">Biên bản này được lập thành 02 bản mỗi bên giữ 01 bản có giá trị pháp lý như nhau, Biên bản này sau khi lập xong </t>
  </si>
  <si>
    <t>khoản sau:</t>
  </si>
  <si>
    <t xml:space="preserve">Sau khi thương thảo, bàn bạc, hai bên thống nhất ký kết hợp đồng vận chuyển với các điều </t>
  </si>
  <si>
    <t>kinh tế.</t>
  </si>
  <si>
    <t>-   Quá trình thực hiện nếu có gì vướng mắc hai bên cùng bàn bạc giải quyết thông qua thương lượng</t>
  </si>
  <si>
    <t>đồng này).</t>
  </si>
  <si>
    <t xml:space="preserve">và thỏa thuận để làm phụ lục và bổ sung hợp đồng (phụ lục hợp đồng là một phần nội dung của hợp </t>
  </si>
  <si>
    <t xml:space="preserve">BÊN B  </t>
  </si>
  <si>
    <t>0401886963</t>
  </si>
  <si>
    <t>Cước cẩu, vận chuyển quả cân từ Tề Lỗ, Phú Thọ đi xã Kỳ Sơn, tỉnh Phú Thọ</t>
  </si>
  <si>
    <t>CÔNG TY CỔ PHẦN KIỂM ĐỊNH MKV</t>
  </si>
  <si>
    <t>Đường Phạm Đình Hổ, Phường Vĩnh Yên, Tỉnh Phú Thọ, Việt Nam</t>
  </si>
  <si>
    <t xml:space="preserve">-       Căn cứ Hợp đồng vận chuyển số </t>
  </si>
  <si>
    <t xml:space="preserve">22052026/HĐKT ký ngày 22 tháng 05 năm 2026 giữa CÔNG TY TNHH </t>
  </si>
  <si>
    <t>VẬN TẢI ĐẠI LỘ XANH và</t>
  </si>
  <si>
    <t>Hôm nay,</t>
  </si>
  <si>
    <t xml:space="preserve">Ông </t>
  </si>
  <si>
    <t>NGUYỄN KIM QUYẾT</t>
  </si>
  <si>
    <t xml:space="preserve">      1. Bên B đã thực hiện các công việc như sau: Cẩu quả chuẩn M1 từ Trung tâm Kỹ thuật Tiêu chuẩn Đo </t>
  </si>
  <si>
    <t xml:space="preserve">thanh toán cho Bên B chi phí thực hiện hợp đồng: 16.200.000 đồng (Mười sáu triệu hai trăm nghìn </t>
  </si>
  <si>
    <t xml:space="preserve">      Bên B đã bàn giao cho Bên A hoá đơn tài chính để Bên A thực hiện việc thanh quyết toán chi phí thực hiện hợp</t>
  </si>
  <si>
    <t>Hợp đồng này sẽ hết hiệu lực sau khi Bên A hoàn thành việc thanh quyết toán kinh phí thực hiện hợp đồng cho</t>
  </si>
  <si>
    <t xml:space="preserve">Bên B. </t>
  </si>
  <si>
    <t>Cước vận chuyển xe nâng và thiết bị từ công ty TNHH Hương Gia Vị Sơn Hà thôn Yên Thành tới thôn Yên Dũng, xã Xuân Ái, Tỉnh Lào Cai</t>
  </si>
  <si>
    <t>CÔNG TY TNHH HƯƠNG GIA VỊ SƠN HÀ</t>
  </si>
  <si>
    <t>Phố Quế, Cụm Công nghiệp Đa nghề Đình Bảng, Phường Từ Sơn, Tỉnh Bắc Ninh, Việt Nam</t>
  </si>
  <si>
    <t>Cước vận chuyển quả chuẩn từ Công ty TNHH Thế Hệ Mới đến P. Mỹ Lâm, Tỉnh Tuyên Quang</t>
  </si>
  <si>
    <t>Cước cẩu, vận chuyển quả chuẩn từ Tề Lỗ, Phú Thọ đi Văn Yên, Lào Cai</t>
  </si>
  <si>
    <t>Thôn Đồng Lực, Xã Hoàng An, Tỉnh Phú Thọ, Việt Nam</t>
  </si>
  <si>
    <t>. Tại văn phòng quý khách hàng, chúng tôi gồm có:</t>
  </si>
  <si>
    <t>giá vận chuyển cụ thể như sau:</t>
  </si>
  <si>
    <t>Cước cẩu, vận chuyển quả chuẩn đi Phong Châu, Phú Thọ và cẩu phục vụ kiểm định</t>
  </si>
  <si>
    <t>Cước cẩu, vận chuyển quả chuẩn đi TP Hòa Bình, Phú Thọ và cẩu phục vụ kiểm định</t>
  </si>
  <si>
    <t>0105436996</t>
  </si>
  <si>
    <t>CÔNG TY TNHH SẢN XUẤT CÔNG NGHỆ TÂN NAM PHÁT</t>
  </si>
  <si>
    <t>Số 45B2 ngõ 649 đường Lĩnh Nam, Phường Vĩnh Hưng, Thành phố Hà Nội</t>
  </si>
  <si>
    <t>Cước cẩu, vận chuyển bàn cân từ Hội Thịnh, Phú Thọ đến 23 Nam Hồng, Đông Anh, TP Hà Nội</t>
  </si>
  <si>
    <t>Cước cẩu, vận chuyển quả chuẩn từ Tề Lỗ, Phú Thọ đến 23 Nam Hồng, Đông Anh, TP Hà Nội phục vụ kiểm định</t>
  </si>
  <si>
    <t>0109205534</t>
  </si>
  <si>
    <t xml:space="preserve">CÔNG TY TNHH TM VÀ DỊCH VỤ TỰ ĐỘNG HÓA THÀNH CÔNG </t>
  </si>
  <si>
    <t>Thửa đất số 171CBĐ 03, Tổ 5 Phường Yên Nghĩa, Thành Phố Hà Nội</t>
  </si>
  <si>
    <t>LÊ THỊ DINH</t>
  </si>
  <si>
    <t>Tại ngân hàng TMCP Á Châu – CN Hà Nội</t>
  </si>
  <si>
    <t>Cước cẩu, vận chuyển quả chuẩn từ Tề Lỗ, Phú Thọ đến Phượng Sơn, Bắc Ninh</t>
  </si>
  <si>
    <t>CÔNG TY TNHH MỘT THÀNH VIÊN CÂN ĐIỆN TỬ VĨNH PHÚC</t>
  </si>
  <si>
    <t>Số nhà 25, Tổ dân phố Đậu, Phường Vĩnh Phúc, Tỉnh Phú Thọ, Việt Nam</t>
  </si>
  <si>
    <t>: CÔNG TY TNHH VẬN TẢI ĐẠI LỘ XANH</t>
  </si>
  <si>
    <t>BÊN VẬN CHUYỂN (BÊN A)</t>
  </si>
  <si>
    <t>LÊ DUY PHƯƠNG</t>
  </si>
  <si>
    <t>Tại ngân hàng ACB - CN Linh Đàm</t>
  </si>
  <si>
    <r>
      <t>-      </t>
    </r>
    <r>
      <rPr>
        <i/>
        <sz val="12.5"/>
        <color theme="1"/>
        <rFont val="Times New Roman"/>
        <family val="1"/>
      </rPr>
      <t xml:space="preserve"> Căn cứ vào luật thương mại có hiệu lực ngày 01/01/2006.</t>
    </r>
  </si>
  <si>
    <r>
      <t>-       </t>
    </r>
    <r>
      <rPr>
        <i/>
        <sz val="12.5"/>
        <color theme="1"/>
        <rFont val="Times New Roman"/>
        <family val="1"/>
      </rPr>
      <t>Căn cứ vào bộ luật dân sự có hiệu lực ngày 01/01/2006.</t>
    </r>
  </si>
  <si>
    <t xml:space="preserve">-       Căn cứ vào hướng dẫn HD 1889/TTG ngày 19 tháng 12 năm 2005 hướng dẫn lập hợp đồng </t>
  </si>
  <si>
    <r>
      <t>-      </t>
    </r>
    <r>
      <rPr>
        <i/>
        <sz val="12.5"/>
        <color theme="1"/>
        <rFont val="Times New Roman"/>
        <family val="1"/>
      </rPr>
      <t xml:space="preserve"> Căn cứ vào nhu cầu và khả năng của hai bên.</t>
    </r>
  </si>
  <si>
    <t>3.2   Thanh toán theo chuyến áp theo giá đã được hai bên thỏa thuận từng thời điểm.</t>
  </si>
  <si>
    <t>3.4  Nếu bên A chậm thanh toán, bên B có quyền tạm dừng vận chuyển hàng.</t>
  </si>
  <si>
    <t>sinh 2 bên sẽ thỏa thuận tạo điều kiện hỗ trợ).</t>
  </si>
  <si>
    <t>-   Thông báo lịch vận chuyển ít nhất là 06 tiếng để bên B bố trí phương tiện (trong trường hợp phát</t>
  </si>
  <si>
    <t>của 2 bên, phiếu nhập kho do bên A cung cấp.</t>
  </si>
  <si>
    <t>-    Bố trí phương tiện vận chuyển không làm lỡ kế hoạch của bên A.</t>
  </si>
  <si>
    <t>-    Có trách nhiệm kiểm tra và đảm bảo chất lượng, số lượng hàng hóa khi vận chuyển.</t>
  </si>
  <si>
    <r>
      <rPr>
        <sz val="12.5"/>
        <color rgb="FF0000FF"/>
        <rFont val="Times New Roman"/>
        <family val="1"/>
      </rPr>
      <t xml:space="preserve">-    </t>
    </r>
    <r>
      <rPr>
        <sz val="12.5"/>
        <color theme="1"/>
        <rFont val="Times New Roman"/>
        <family val="1"/>
      </rPr>
      <t>Trường hợp hàng bị hư hỏng phải trả về, phải có biên bản hư hỏng hàng hóa có đầy đủ xác nhận</t>
    </r>
  </si>
  <si>
    <t>-    Cấp hóa đơn GTGT hợp pháp cho bên A.</t>
  </si>
  <si>
    <r>
      <t>-    </t>
    </r>
    <r>
      <rPr>
        <sz val="12.5"/>
        <color theme="1"/>
        <rFont val="Times New Roman"/>
        <family val="1"/>
      </rPr>
      <t xml:space="preserve">Đảm bảo khi giao hàng tại công trình của bên A phải có chữ ký xác nhận của cán bộ </t>
    </r>
    <r>
      <rPr>
        <sz val="12.5"/>
        <color rgb="FF0000FF"/>
        <rFont val="Times New Roman"/>
        <family val="1"/>
      </rPr>
      <t>được ủy quyền</t>
    </r>
  </si>
  <si>
    <t>của bên nhận hàng.</t>
  </si>
  <si>
    <r>
      <t>-    </t>
    </r>
    <r>
      <rPr>
        <sz val="12.5"/>
        <color theme="1"/>
        <rFont val="Times New Roman"/>
        <family val="1"/>
      </rPr>
      <t xml:space="preserve">Trong quá trình vận chuyển nếu do bên B làm sản phẩm của bên A bị lỗi (nứt, sứt mẻ, </t>
    </r>
    <r>
      <rPr>
        <sz val="12.5"/>
        <color rgb="FF0000FF"/>
        <rFont val="Times New Roman"/>
        <family val="1"/>
      </rPr>
      <t>gãy…) làm</t>
    </r>
  </si>
  <si>
    <t>-    Đảm bảo người vận hành các xe, thiết bị phục vụ nhu cầu vận chuyển của bên A phải xuất trình các</t>
  </si>
  <si>
    <t>giấy tờ cần thiết khi bị các ban ngành Nhà nước kiểm tra.</t>
  </si>
  <si>
    <t>-   Hợp đồng này được lập thành 02 bản, mỗi bên giữ 01 bản có giá trị pháp lý như nhau.</t>
  </si>
  <si>
    <t>-   Hợp đồng có hiệu lực từ ngày kí đến hết ngày 31/12/2026.</t>
  </si>
  <si>
    <t>-   Hợp đồng này có hiệu lực kể từ ngày ký. Hợp đồng hết hiệu lực khi các bên đã thực hiện các quyền</t>
  </si>
  <si>
    <t>pháp luật hiện hành.</t>
  </si>
  <si>
    <t>cho khách hàng của bên A từ chối nhận hàng thì bên B phải chịu trách nhiệm đền bù về chi phí các lỗi</t>
  </si>
  <si>
    <t>của sản phẩm đó.</t>
  </si>
  <si>
    <r>
      <t xml:space="preserve">-    </t>
    </r>
    <r>
      <rPr>
        <sz val="12.5"/>
        <color theme="1"/>
        <rFont val="Times New Roman"/>
        <family val="1"/>
      </rPr>
      <t>Hai</t>
    </r>
    <r>
      <rPr>
        <b/>
        <sz val="12.5"/>
        <color theme="1"/>
        <rFont val="Times New Roman"/>
        <family val="1"/>
      </rPr>
      <t xml:space="preserve"> </t>
    </r>
    <r>
      <rPr>
        <sz val="12.5"/>
        <color theme="1"/>
        <rFont val="Times New Roman"/>
        <family val="1"/>
      </rPr>
      <t xml:space="preserve">bên cam kết thực hiện những điều khoản ghi trong hợp đồng. Nếu bên nào vi phạm </t>
    </r>
    <r>
      <rPr>
        <b/>
        <sz val="12.5"/>
        <color theme="1"/>
        <rFont val="Times New Roman"/>
        <family val="1"/>
      </rPr>
      <t>sẽ phải bồi</t>
    </r>
  </si>
  <si>
    <t>thường thiệt hại cho bên kia và chịu trách nhiệm trước pháp luật.</t>
  </si>
  <si>
    <t>và nghĩa vụ đối với nhau.</t>
  </si>
  <si>
    <t>trên tinh thần hợp tác và bình đẳng. Nếu hai bên không giải quyết được bằng thương lượng hòa giải thì</t>
  </si>
  <si>
    <t>một trong các bên sẽ yêu cầu Tòa án có thẩm quyền tại Tỉnh Phú Thọ giải quyết theo quy định của</t>
  </si>
  <si>
    <t>-   Các thay đổi khác nếu có ngoài nội dung hợp đồng này, hai bên thông báo cho nhau bằng văn bản</t>
  </si>
  <si>
    <t>Cước cẩu, vận chuyển bàn cân từ Hội Thịnh, Phú Thọ đến Xã Tô Mậu, Tỉnh Lào Cai</t>
  </si>
  <si>
    <t xml:space="preserve">Cước cẩu, vận chuyển quả chuẩn từ Tề Lỗ, Phú Thọ đi Xã Đoan Hùng, Tỉnh Phú Thọ </t>
  </si>
  <si>
    <t>0107705669</t>
  </si>
  <si>
    <t>CÔNG TY TNHH THIẾT BỊ ĐO LƯỜNG VÀ CÔNG NGHIỆP 247</t>
  </si>
  <si>
    <t>Số 5, Ngõ 254, Đường Mỹ Đình, Phường Từ Liêm, Thành phố Hà Nội, Việt Nam</t>
  </si>
  <si>
    <t>HÀ HỮU TIẾN</t>
  </si>
  <si>
    <t>Tại ngân hàng TMCP Quân Đội - Mbbank</t>
  </si>
  <si>
    <t>Cước vận chuyển chặng Khai Quang-Phú Hà</t>
  </si>
  <si>
    <t>CÔNG TY TNHH H2Y VINA</t>
  </si>
  <si>
    <t>Khu đô thị Đồng Sơn, tổ 9, Phường Phúc Yên, Tỉnh Phú Thọ, Việt Nam</t>
  </si>
  <si>
    <t>Cước cẩu, vận chuyển quả cân chuẩn từ xã Tề Lỗ đi xã Xuân Lãng, tỉnh Phú Thọ , biển kiểm soát 19H-147.98</t>
  </si>
  <si>
    <t>Ca cẩu</t>
  </si>
  <si>
    <t xml:space="preserve">Cước cẩu, vận chuyển quả chuẩn từ Tề Lỗ, Phú Thọ đi Xã Bình Xuyên, Tỉnh Phú Thọ </t>
  </si>
  <si>
    <t>Cước cẩu, vận chuyển bàn cân 18mx3m và quả cân chuẩn từ Thuận Thành, Bắc Ninh đi Đại Từ, Thái Nguyên</t>
  </si>
  <si>
    <t>Cước cẩu, vận chuyển quả chuẩn từ Tề Lỗ, Phú Thọ đi Phúc Yên, Phú Thọ</t>
  </si>
  <si>
    <t>Cước vận chuyển quả chuẩn từ Tề Lỗ, Phú Thọ đi xã Lục Yên, Lào Cai và xã Xuân Quang, Lào Cai</t>
  </si>
  <si>
    <t>CÔNG TY TNHH CÔNG NGHỆ VÀ DỊCH VỤ VIETLIFE</t>
  </si>
  <si>
    <t>Số nhà 04, Ngõ 04, Phố Chiền, Phường Vĩnh Phúc, Tỉnh Phú Thọ, Việt Nam</t>
  </si>
  <si>
    <t>Cước cẩu, vận chuyển quả chuẩn từ Trung tâm Kỹ thuật tiêu chuẩn đo lường chất lượng (cơ sở 2, Phường Vĩnh Phúc, tỉnh Phú Thọ) đến Công ty Cổ Phần Prime Hào Phú( Xã Trường Sinh, tỉnh Tuyên Quang)</t>
  </si>
  <si>
    <t>0106342099</t>
  </si>
  <si>
    <t>CÔNG TY TNHH ĐO LƯỜNG, ĐIỀU KHIỂN VÀ GIÁM SÁT THÁI BÌNH</t>
  </si>
  <si>
    <t>Số 55, Ngõ 89, phố Bùi Huy Bích, Phường Hoàng Mai, Thành phố Hà Nội, Việt Nam</t>
  </si>
  <si>
    <t>Cước cẩu, vận chuyển bàn cân 6mx3m từ Thuận Thành, Bắc Ninh đi Nam Hòa, Thái Nguyên</t>
  </si>
  <si>
    <t>Cước cẩu, vận chuyển bàn cân từ Hoàng An, Phú Thọ đi Liên Sơn, Phú Thọ</t>
  </si>
  <si>
    <t>Cước cẩu, vận chuyển quả chuẩn từ Tề Lỗ, Phú Thọ đi Liên Sơn, Phú Thọ</t>
  </si>
  <si>
    <t>Cước cẩu, vận chuyển bàn cân và quả chuẩn từ Hoàng An, Phú Thọ đi Minh Xuân, Tuyên Quang</t>
  </si>
  <si>
    <t>Cước cẩu, vận chuyển quả chuẩn từ Tề Lỗ, Phú Thọ đi Sam Mứn, Điện Biên</t>
  </si>
  <si>
    <t>Cước cẩu, vận chuyển quả chuẩn từ Tề Lỗ, Phú Thọ đi Xã Đồng Việt, Bắc Ninh</t>
  </si>
  <si>
    <t>Cước cẩu, vận chuyển quả chuẩn từ Tề Lỗ, Phú Thọ đi Phường Chí Linh, Hải Phòng</t>
  </si>
  <si>
    <t>Cước cẩu, vận chuyển quả chuẩn từ Tề Lỗ, Phú Thọ đi Phường Bình Thuận, Tuyên Quang</t>
  </si>
  <si>
    <t>CÔNG TY TNHH THIẾT BỊ CÔNG NGHIỆP HTC VĨNH PHÚC</t>
  </si>
  <si>
    <t>Cước cẩu, vận chuyển quả chuẩn từ Tề Lỗ, Phú Thọ đến Xã Phục Hoà, Tỉnh Cao Bằng</t>
  </si>
  <si>
    <t>Cước cẩu, vận chuyển quả chuẩn từ Tề Lỗ, Phú Thọ đi Xã Tân Lạc, Phú Thọ</t>
  </si>
  <si>
    <t>Cước cẩu, vận chuyển quả chuẩn từ Tề Lỗ, Phú Thọ đi Xã Hợp Lý, Phú Thọ</t>
  </si>
  <si>
    <t>Cước cẩu, vận chuyển bàn cân + quả chuẩn từ Vĩnh Yên, Phú Thọ đi Xã Cao Dương, Phú Thọ</t>
  </si>
  <si>
    <t>Cước cẩu, vận chuyển quả chuẩn từ Tề Lỗ, Phú Thọ đi Xã Cao Dương, Phú Thọ</t>
  </si>
  <si>
    <t>CÔNG TY TNHH SẢN XUẤT VÁN ÉP THÀNH PHÚ</t>
  </si>
  <si>
    <t>Xóm Tân Lập, Phường Phúc Thuận, Tỉnh Thái Nguyên, Việt Nam</t>
  </si>
  <si>
    <t>NGUYỄN THỊ TUYẾT</t>
  </si>
  <si>
    <t>Tại ngân hàng Sacombank – CN Long Biên Hà Nội</t>
  </si>
  <si>
    <t>020063698866</t>
  </si>
  <si>
    <t>Cước cẩu, vận chuyển quả chuẩn từ Tề Lỗ, Phú Thọ đi Phường Hạp Lĩnh, Bắc Ninh</t>
  </si>
  <si>
    <t>Cước cẩu, vận chuyển quả chuẩn từ Tề Lỗ, Phú Thọ đi Phường Phúc Thuận, Tỉnh Thái Nguyên</t>
  </si>
  <si>
    <t>Cước cẩu, vận chuyển quả chuẩn từ Tề Lỗ, Phú Thọ đến Mao Điền, Hải Phòng</t>
  </si>
  <si>
    <t>Cước cẩu, vận chuyển quả chuẩn từ Tề Lỗ, Phú Thọ đến Cụm Công Nghiệp Đồng Sóc, Phú Thọ</t>
  </si>
  <si>
    <t>CÔNG TY TNHH KỸ THUẬT ĐO LƯỜNG TÂN QUỐC HƯNG</t>
  </si>
  <si>
    <t>Lô M-3, Đường Trung Tâm, Khu Công Nghiệp Long Hậu Mở Rộng, Ấp Long Hậu 3, Xã Cần Giuộc, Tỉnh Tây Ninh, Việt Nam</t>
  </si>
  <si>
    <t>Cước cẩu, vận chuyển quả chuẩn từ Tề Lỗ, Phú Thọ đi Xã Minh Hòa, Phú Thọ</t>
  </si>
  <si>
    <t>Cước vận chuyển sắt từ Công ty Tiến Mạnh về Công ty TNHH Giải Pháp Công Nghệ Vinaco Việt Nam tại Phú Thọ phục vụ sản xuất</t>
  </si>
  <si>
    <t>Cước cẩu, vận chuyển bàn cân từ Phường Vĩnh Yên, Phú Thọ đến khu Đồng Thia Oanh, Phường Phú Thọ, Tỉnh Phú Thọ</t>
  </si>
  <si>
    <t>Cước cẩu, vận chuyển quả chuẩn từ Tề Lỗ, Phú Thọ đến Phường Phúc Yên, Phú Thọ</t>
  </si>
  <si>
    <t>quả chuẩn</t>
  </si>
  <si>
    <t>Tề Lỗ, Phú Thọ</t>
  </si>
  <si>
    <t>Phường Phúc Yên, Phú Thọ</t>
  </si>
  <si>
    <t>Số: .../ĐNTT-ĐLX</t>
  </si>
  <si>
    <t>ngày 28 tháng 07 năm 2026</t>
  </si>
  <si>
    <t>Cước vận chuyển thép tấm từ Tề Lỗ, Phú Thọ đến Xã Vĩnh Thành, Phú Thọ</t>
  </si>
  <si>
    <t>CÔNG TY TNHH ĐẦU TƯ PHÁT TRIỂN THƯƠNG MẠI THÀNH TIẾN</t>
  </si>
  <si>
    <t>Thôn Đại Định, Xã Vĩnh Thành, Tỉnh Phú Thọ, Việt Nam</t>
  </si>
  <si>
    <t>LÊ HÀ TUYÊN</t>
  </si>
  <si>
    <t>296333999</t>
  </si>
  <si>
    <t>Tại ngân hàng MBBANK</t>
  </si>
  <si>
    <t>Cước cẩu, vận chuyển quả chuẩn từ Tề Lỗ, Phú Thọ đến Xã Nguyễn Huệ , Tỉnh Cao Bằng</t>
  </si>
  <si>
    <t>Cước vận chuyển mặt bàn cân kích thước 3x15m từ Xã Hoàng An, Phú Thọ đến phân xưởng KLM II tại phường Tích Lương, Thái Nguyên</t>
  </si>
  <si>
    <t>CÔNG TY TNHH KHOA HỌC VÀ  KỸ THUẬT KTC THÁI NGUYÊN</t>
  </si>
  <si>
    <t>Tổ 1, Phường Quyết Thắng, Tỉnh Thái Nguyên, Việt Nam</t>
  </si>
  <si>
    <t>Tại ngân hàng VIETINBANK - CN Vĩnh Phúc</t>
  </si>
  <si>
    <t>LƯU VĂN HÙNG</t>
  </si>
  <si>
    <t>NGUYỄN TUẤN HƯỞNG</t>
  </si>
  <si>
    <t xml:space="preserve">Tại ngân hàng TMCP Công thương Việt Nam </t>
  </si>
  <si>
    <t>NGUYỄN THẾ DUYÊN</t>
  </si>
  <si>
    <t>Tại ngân hàng MBBank - CN Long Biên, Hà Nội</t>
  </si>
  <si>
    <t>Bên A thuê vận chuyển và Bên B nhận cung cấp, điều động phương tiện để vận chuyển hàng hóa theo</t>
  </si>
  <si>
    <t>bàn cân, quả chuẩn hoặc các mặt hàng do bên thuê vận chuyển yêu cầu.</t>
  </si>
  <si>
    <t>chuyến</t>
  </si>
  <si>
    <t>-   Tên hàng hóa :</t>
  </si>
  <si>
    <t xml:space="preserve">-   Đơn vị tính    :   </t>
  </si>
  <si>
    <t xml:space="preserve">-   Số lượng        :   </t>
  </si>
  <si>
    <t>Theo thông báo từng chuyến/đợt.</t>
  </si>
  <si>
    <t xml:space="preserve">-  Cự ly vận chuyển :   </t>
  </si>
  <si>
    <t>Căn cứ theo thỏa thuận của từng lô hàng.</t>
  </si>
  <si>
    <t>yêu cầu của Bên A như sau :</t>
  </si>
  <si>
    <t>-   Các thỏa thuận cũng như các sửa đổi bổ sung, đươc coi như các phụ lục và là một phần không thể</t>
  </si>
  <si>
    <t>tách rời của hợp đồng này.</t>
  </si>
  <si>
    <t>-    Bên B phải chịu trách nhiệm nếu có sự sai trái trong việc sử dụng và phát hành hóa đơn cho Bên A.</t>
  </si>
  <si>
    <t xml:space="preserve">trong tháng và viết hóa đơn thuế GTGT (VAT). Trong vòng 30 ngày làm việc sau khi nhận đầy đủ </t>
  </si>
  <si>
    <t>chứng từ, bên A có trách nhiệm thanh toán cước cho bên B hoặc theo thoả thuận 2 bên.</t>
  </si>
  <si>
    <t>3.1   Thanh toán bằng chuyển khoản , tiền mặt hoặc bù trừ công nợ.</t>
  </si>
  <si>
    <t xml:space="preserve">3.3   Thanh toán: Sau khi vận chuyển 2 bên tiến hành đối chiếu khối lượng hàng hóa đã vận chuyển </t>
  </si>
  <si>
    <t>NGUYỄN VĂN THIẾT</t>
  </si>
  <si>
    <t>Tại ngân hàng TMCP Công thương Việt Nam</t>
  </si>
  <si>
    <t>Tại ngân hàng TMCP Công thương Việt Nam - CN Hùng Vương</t>
  </si>
  <si>
    <t>Tại Ngân Hàng BIDV – CN Vĩnh Phúc</t>
  </si>
  <si>
    <t>NÔNG VĂN VIỆT</t>
  </si>
  <si>
    <t xml:space="preserve">BÊN THUÊ VẬN CHUYỂN (BÊN B) : </t>
  </si>
  <si>
    <t>06</t>
  </si>
  <si>
    <t>Ngõ 07, Đường Lý Thường Kiệt, TDP Lai Sơn, Phường Vĩnh Yên, Tỉnh Phú Thọ</t>
  </si>
  <si>
    <t>LÊ VĂN LĂNG</t>
  </si>
  <si>
    <t>Tại ngân hàng VIETINBANK - CN Bình Xuyên</t>
  </si>
  <si>
    <t>NINH ĐỨC CƯỜNG</t>
  </si>
  <si>
    <t>NGUYỄN ANH TIẾN</t>
  </si>
  <si>
    <t>Tại ngân hàng Techcombank - CN Chương Dương</t>
  </si>
  <si>
    <t>Bà</t>
  </si>
  <si>
    <t>VŨ THỊ HIẾN</t>
  </si>
  <si>
    <t xml:space="preserve">Tại ngân hàng TMCP Hàng Hải Việt Nam </t>
  </si>
  <si>
    <t>NGUYỄN THỊ THU TRANG</t>
  </si>
  <si>
    <t>VIETLIFE</t>
  </si>
  <si>
    <t>Tại ngân hàng NN và PTNT Việt Nam</t>
  </si>
  <si>
    <t>Total</t>
  </si>
  <si>
    <t>Cước vận chuyển sắt từ Hưng Yên về xã Hội Thịnh</t>
  </si>
  <si>
    <t xml:space="preserve">  ĐẠI DIỆN BÊN A</t>
  </si>
  <si>
    <t xml:space="preserve">    NGUYỄN KIM QUYẾT</t>
  </si>
  <si>
    <t>Cước cẩu, vận chuyển bàn cân từ Xã Hoàng An, Phú Thọ đến Xã Nghĩa Hưng, Tỉnh Nghệ An</t>
  </si>
  <si>
    <t>Cước cẩu, vận chuyển bàn cân từ công ty HTC Vĩnh Phúc đi Xã Thanh Lâm, Tỉnh Ninh Bình</t>
  </si>
  <si>
    <t>(Ký,ghi rõ họ tên)</t>
  </si>
  <si>
    <t xml:space="preserve">   (Ký,ghi rõ họ tên)</t>
  </si>
  <si>
    <t>Cước cẩu, vận chuyển bàn cân từ khu Lai Sơn, Phường Vĩnh Yên, Tỉnh Phú Thọ đi Xã Xuân Ái, Tỉnh Lào Cai</t>
  </si>
  <si>
    <t>Cước cẩu, vận chuyển bàn cân từ khu Lai Sơn, Phường Vĩnh Yên, Tỉnh Phú Thọ đi Phường Phả Lại, Thành phố Hải Phòng</t>
  </si>
  <si>
    <t>Cước cẩu, vận chuyển quả chuẩn từ Xã Tề Lỗ, Tỉnh Phú Thọ đi KCN Trung Hà, Xã Tam Nông, Tỉnh Phú Thọ</t>
  </si>
  <si>
    <t>Cước cẩu bàn cân ra/vào cho khách hàng vệ sinh</t>
  </si>
  <si>
    <t>23</t>
  </si>
  <si>
    <t>Cước cẩu, vận chuyển quả chuẩn từ Phường Việt Trì, Tỉnh Phú Thọ đến Xã Minh Hoà, Tỉnh Phú Thọ</t>
  </si>
  <si>
    <t>Cước cẩu, vận chuyển quả chuẩn từ Phường Việt Trì, Tỉnh Phú Thọ đến Xã Vạn Xuân, Tỉnh Phú Thọ</t>
  </si>
  <si>
    <t>Cước cẩu, vận chuyển quả chuẩn từ Phường Việt Trì, Tỉnh Phú Thọ đến Xã Bản Nguyên, Tỉnh Phú Thọ</t>
  </si>
  <si>
    <t>Cước cẩu, vận chuyển bàn cân từ khu Lai Sơn, Phường Vĩnh Yên, Tỉnh Phú Thọ đi Phường Kỳ Lừa, Tỉnh Lạng Sơn</t>
  </si>
  <si>
    <t>Cước cẩu, vận chuyển máy giặt từ KCN Bình Xuyên, Tỉnh Phú Thọ đi Phường Phúc Yên, Tỉnh Phú Thọ</t>
  </si>
  <si>
    <t>CÔNG TY CỔ PHẦN VINOTA</t>
  </si>
  <si>
    <t>Số nhà 169-171 Hàng Bông, Phường Hoàn Kiếm, Thành phố Hà Nội, Việt Nam</t>
  </si>
  <si>
    <t>Cước cẩu, vận chuyển bàn cân từ Xã Hội Thịnh, Tỉnh Phú Thọ đi TP Lạng Sơn, Tỉnh Lạng Sơn</t>
  </si>
  <si>
    <t>Cước cẩu, vận chuyển bàn cân từ KCN Thuận Thành, Tỉnh Bắc Ninh về Xã Hội Thịnh, Tỉnh Phú Thọ</t>
  </si>
  <si>
    <t>Cước cẩu bàn cân từ trong ra ngoài</t>
  </si>
  <si>
    <t xml:space="preserve">Cước cẩu bàn cân từ ngoài vào trong </t>
  </si>
  <si>
    <t>Cước cẩu, vận chuyển bàn cân từ công ty Tân Thịnh Phát đi Xã Phong Hải, Tỉnh Lào Cai</t>
  </si>
  <si>
    <t>Cước cẩu, vận chuyển bàn cân từ công ty HTC đi Xã Bình Xuyên, Tỉnh Phú Thọ</t>
  </si>
  <si>
    <t>Cước cẩu, vận chuyển bàn cân từ khu Lai Sơn, Phường Vĩnh Yên, Tỉnh Phú Thọ đi Việt Trì</t>
  </si>
  <si>
    <t>Cước cẩu, vận chuyển bàn cân từ Xã Hội Thịnh, Tỉnh Phú Thọ đi KCN Thuận Thành, Tỉnh Bắc Ninh</t>
  </si>
  <si>
    <t>Cước cẩu, vận chuyển bàn cân từ Xã Hoàng An, Tỉnh Phú Thọ đến Xóm Hưng Lam 1, Xã Hưng Nguyên Nam, Tỉnh Nghệ An</t>
  </si>
  <si>
    <t>Cước cẩu, vận chuyển quả chuẩn từ Trung tâm KT Tiêu chuẩn đo lường chất lượng tỉnh Phú Thọ đi Bình Nguyên</t>
  </si>
  <si>
    <t>Cước cẩu, vận chuyển quả chuẩn từ Trung tâm KT Tiêu chuẩn đo lường chất lượng tỉnh Phú Thọ đi Nguyệt Đức</t>
  </si>
  <si>
    <t>Cước cẩu, vận chuyển quả chuẩn từTrung tâm KT Tiêu chuẩn đo lường chất lượng tỉnh Phú Thọ đi Tam Dương Bắc</t>
  </si>
  <si>
    <t>Cước cẩu, vận chuyển quả chuẩn từ Tề Lỗ, Phú Thọ đến thôn Vũ Linh, Xã Thác Bà, Tỉnh Lào Cai</t>
  </si>
  <si>
    <t>Cước cẩu, vận chuyển quả chuẩn từ Tề Lỗ, Phú Thọ đi công ty Cổ Phần Việt Vương phường Việt Trì, tỉnh Phú Thọ</t>
  </si>
  <si>
    <t>CÔNG TY TNHH KĨ THUẬT VÀ THƯƠNG MẠI NTD</t>
  </si>
  <si>
    <t>Tổ 4B, Khu Hương Trầm, Phường Việt Trì, Tỉnh Phú Thọ, Việt Nam</t>
  </si>
  <si>
    <t>Cước cẩu bàn cân tại xưởng</t>
  </si>
  <si>
    <t>Cước vận chuyển bàn cân từ Hội Thịnh, Phú Thọ đi Gia Bình, Bắc Ninh</t>
  </si>
  <si>
    <t>Cước cẩu, vận chuyển bàn cân từ Xã Hội Thịnh, Tỉnh Phú Thọ đi Cảng Việt Trì, Tỉnh Phú Thọ</t>
  </si>
  <si>
    <t>thay thế bằng HD 83 do sai địa chỉ</t>
  </si>
  <si>
    <t>Cước cẩu, vận chuyển quả chuẩn từ Tề Lỗ, Phú Thọ đến Xã Thư Lâm, TP Hà Nội</t>
  </si>
  <si>
    <t>2300779937</t>
  </si>
  <si>
    <t>CÔNG TY CỔ PHẦN NGÔI SAO KINH BẮC</t>
  </si>
  <si>
    <t>Khu Quán Trắng, Phường Tiên Du, Thành phố Bắc Ninh, Việt Nam</t>
  </si>
  <si>
    <t>Cước cẩu, vận chuyển quả cân từ Xã Tề Lỗ, Tỉnh Phú Thọ đến công ty Cổ Phần Thép Việt Đức(KCN Bình Xuyên, Xã Xuân Lãng, Tỉnh Phú Thọ, Việt Nam)</t>
  </si>
  <si>
    <t>Cước cẩu, vận chuyển quả cân từ Xã Tề Lỗ, Tỉnh Phú Thọ đến thôn Tòng Mòn, Xã Cốc San, Tỉnh Lào Cai</t>
  </si>
  <si>
    <t>Cước cẩu, vận chuyển quả chuẩn từ Tề Lỗ, Phú Thọ đến Phường Trung Thành, Tỉnh Thái Nguyên</t>
  </si>
  <si>
    <t>CÔNG TY TNHH THIẾT BỊ ĐO LƯỜNG ĐỨC PHÚC</t>
  </si>
  <si>
    <t>Phòng 302, Nhà số 8, Ngõ 31 Phố Phương Liệt, Phường Phương Liệt, TP Hà Nội, Việt Nam</t>
  </si>
  <si>
    <t>0109163588</t>
  </si>
  <si>
    <t>Cước cẩu, vận chuyển bàn cân từ Thành phố Bắc Ninh đến Tỉnh Nghệ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</si>
</sst>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 \:"/>
    <numFmt numFmtId="165" formatCode="_-* #,##0_-;\-* #,##0_-;_-* &quot;-&quot;??_-;_-@_-"/>
    <numFmt numFmtId="166" formatCode="&quot;ngày&quot;\ dd\ &quot;tháng&quot;\ mm\ &quot;năm&quot;\ yyyy"/>
    <numFmt numFmtId="167" formatCode="0000\ 000\ 000"/>
  </numFmts>
  <fonts count="37" x14ac:knownFonts="1">
    <font>
      <sz val="11"/>
      <color theme="1"/>
      <name val="Calibri"/>
      <family val="2"/>
      <charset val="163"/>
      <scheme val="minor"/>
    </font>
    <font>
      <sz val="11"/>
      <color theme="1"/>
      <name val="Times New Roman"/>
      <family val="1"/>
    </font>
    <font>
      <sz val="12"/>
      <color theme="1"/>
      <name val="Times New Roman"/>
      <family val="1"/>
    </font>
    <font>
      <b/>
      <sz val="12"/>
      <color theme="1"/>
      <name val="Times New Roman"/>
      <family val="1"/>
    </font>
    <font>
      <b/>
      <u/>
      <sz val="12"/>
      <color theme="1"/>
      <name val="Times New Roman"/>
      <family val="1"/>
    </font>
    <font>
      <i/>
      <sz val="12"/>
      <color theme="1"/>
      <name val="Times New Roman"/>
      <family val="1"/>
    </font>
    <font>
      <sz val="11"/>
      <color theme="1"/>
      <name val="Calibri"/>
      <family val="2"/>
      <charset val="163"/>
      <scheme val="minor"/>
    </font>
    <font>
      <sz val="10"/>
      <color theme="1"/>
      <name val="Times New Roman"/>
      <family val="1"/>
    </font>
    <font>
      <b/>
      <sz val="13"/>
      <color theme="1"/>
      <name val="Times New Roman"/>
      <family val="1"/>
    </font>
    <font>
      <b/>
      <sz val="10"/>
      <color theme="1"/>
      <name val="Times New Roman"/>
      <family val="1"/>
    </font>
    <font>
      <b/>
      <sz val="16"/>
      <color theme="1"/>
      <name val="Times New Roman"/>
      <family val="1"/>
    </font>
    <font>
      <i/>
      <sz val="12"/>
      <color rgb="FFFF0000"/>
      <name val="Times New Roman"/>
      <family val="1"/>
    </font>
    <font>
      <sz val="13"/>
      <color theme="1"/>
      <name val="Times New Roman"/>
      <family val="1"/>
    </font>
    <font>
      <sz val="7"/>
      <color theme="1"/>
      <name val="Times New Roman"/>
      <family val="1"/>
    </font>
    <font>
      <i/>
      <sz val="13"/>
      <color theme="1"/>
      <name val="Times New Roman"/>
      <family val="1"/>
    </font>
    <font>
      <b/>
      <sz val="14"/>
      <color theme="1"/>
      <name val="Times New Roman"/>
      <family val="1"/>
    </font>
    <font>
      <b/>
      <u/>
      <sz val="13"/>
      <color theme="1"/>
      <name val="Times New Roman"/>
      <family val="1"/>
    </font>
    <font>
      <sz val="12.5"/>
      <color theme="1"/>
      <name val="Times New Roman"/>
      <family val="1"/>
    </font>
    <font>
      <i/>
      <sz val="14"/>
      <color theme="1"/>
      <name val="Times New Roman"/>
      <family val="1"/>
    </font>
    <font>
      <b/>
      <sz val="17"/>
      <color theme="1"/>
      <name val="Times New Roman"/>
      <family val="1"/>
    </font>
    <font>
      <u/>
      <sz val="11"/>
      <color theme="10"/>
      <name val="Calibri"/>
      <family val="2"/>
      <charset val="163"/>
      <scheme val="minor"/>
    </font>
    <font>
      <b/>
      <i/>
      <sz val="12"/>
      <color theme="1"/>
      <name val="Times New Roman"/>
      <family val="1"/>
    </font>
    <font>
      <i/>
      <sz val="11"/>
      <color theme="1"/>
      <name val="Times New Roman"/>
      <family val="1"/>
    </font>
    <font>
      <b/>
      <sz val="12.5"/>
      <color theme="1"/>
      <name val="Times New Roman"/>
      <family val="1"/>
    </font>
    <font>
      <b/>
      <u/>
      <sz val="12.5"/>
      <color theme="1"/>
      <name val="Times New Roman"/>
      <family val="1"/>
    </font>
    <font>
      <i/>
      <u/>
      <sz val="12"/>
      <color theme="1"/>
      <name val="Times New Roman"/>
      <family val="1"/>
    </font>
    <font>
      <sz val="16"/>
      <color theme="1"/>
      <name val="Times New Roman"/>
      <family val="1"/>
    </font>
    <font>
      <b/>
      <sz val="11"/>
      <color theme="1"/>
      <name val="Times New Roman"/>
      <family val="1"/>
    </font>
    <font>
      <u/>
      <sz val="11"/>
      <color theme="10"/>
      <name val="Times New Roman"/>
      <family val="1"/>
    </font>
    <font>
      <i/>
      <sz val="12.5"/>
      <color theme="1"/>
      <name val="Times New Roman"/>
      <family val="1"/>
    </font>
    <font>
      <sz val="12.5"/>
      <color theme="1"/>
      <name val="Calibri"/>
      <family val="2"/>
      <charset val="163"/>
      <scheme val="minor"/>
    </font>
    <font>
      <u/>
      <sz val="12.5"/>
      <color theme="10"/>
      <name val="Times New Roman"/>
      <family val="1"/>
    </font>
    <font>
      <b/>
      <i/>
      <sz val="12.5"/>
      <color theme="1"/>
      <name val="Times New Roman"/>
      <family val="1"/>
    </font>
    <font>
      <i/>
      <u/>
      <sz val="12.5"/>
      <color theme="1"/>
      <name val="Times New Roman"/>
      <family val="1"/>
    </font>
    <font>
      <sz val="12.5"/>
      <color rgb="FF0000FF"/>
      <name val="Times New Roman"/>
      <family val="1"/>
    </font>
    <font>
      <sz val="12.5"/>
      <name val="Times New Roman"/>
      <family val="1"/>
    </font>
    <font>
      <sz val="12.5"/>
      <name val="Calibri"/>
      <family val="2"/>
      <charset val="163"/>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43" fontId="6" fillId="0" borderId="0" applyFont="0" applyFill="0" applyBorder="0" applyAlignment="0" applyProtection="0"/>
    <xf numFmtId="0" fontId="20" fillId="0" borderId="0" applyNumberFormat="0" applyFill="0" applyBorder="0" applyAlignment="0" applyProtection="0"/>
  </cellStyleXfs>
  <cellXfs count="185">
    <xf numFmtId="0" fontId="0" fillId="0" borderId="0" xfId="0"/>
    <xf numFmtId="0" fontId="1" fillId="0" borderId="0" xfId="0" applyFont="1"/>
    <xf numFmtId="0" fontId="2" fillId="0" borderId="0" xfId="0" applyFont="1"/>
    <xf numFmtId="0" fontId="3" fillId="0" borderId="0" xfId="0" applyFont="1"/>
    <xf numFmtId="0" fontId="2" fillId="0" borderId="8" xfId="0" applyFont="1" applyBorder="1"/>
    <xf numFmtId="0" fontId="2" fillId="0" borderId="9" xfId="0" applyFont="1" applyBorder="1"/>
    <xf numFmtId="0" fontId="2" fillId="2" borderId="0" xfId="0" applyFont="1" applyFill="1" applyAlignment="1">
      <alignment vertical="center"/>
    </xf>
    <xf numFmtId="16" fontId="2" fillId="0" borderId="9" xfId="0" applyNumberFormat="1" applyFont="1" applyBorder="1"/>
    <xf numFmtId="12" fontId="1" fillId="0" borderId="0" xfId="0" applyNumberFormat="1" applyFont="1"/>
    <xf numFmtId="165" fontId="2" fillId="0" borderId="9" xfId="1" applyNumberFormat="1" applyFont="1" applyBorder="1"/>
    <xf numFmtId="0" fontId="3" fillId="3" borderId="0" xfId="0" applyFont="1" applyFill="1" applyAlignment="1">
      <alignment vertical="center"/>
    </xf>
    <xf numFmtId="0" fontId="2" fillId="3" borderId="0" xfId="0" applyFont="1" applyFill="1"/>
    <xf numFmtId="0" fontId="4" fillId="3" borderId="0" xfId="0" applyFont="1" applyFill="1" applyAlignment="1">
      <alignment vertical="center"/>
    </xf>
    <xf numFmtId="0" fontId="2" fillId="3" borderId="0" xfId="0" applyFont="1" applyFill="1" applyAlignment="1">
      <alignment vertical="center"/>
    </xf>
    <xf numFmtId="0" fontId="3" fillId="3" borderId="0" xfId="0" applyFont="1" applyFill="1"/>
    <xf numFmtId="0" fontId="2" fillId="3" borderId="0" xfId="0" applyFont="1" applyFill="1" applyAlignment="1">
      <alignment horizontal="left" vertical="center"/>
    </xf>
    <xf numFmtId="0" fontId="2" fillId="3"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vertical="center" wrapText="1"/>
    </xf>
    <xf numFmtId="0" fontId="2" fillId="3" borderId="4" xfId="0" applyFont="1" applyFill="1" applyBorder="1" applyAlignment="1">
      <alignment horizontal="center" vertical="center" wrapText="1"/>
    </xf>
    <xf numFmtId="3" fontId="2" fillId="3" borderId="4" xfId="0" applyNumberFormat="1" applyFont="1" applyFill="1" applyBorder="1" applyAlignment="1">
      <alignment horizontal="right" vertical="center" wrapText="1"/>
    </xf>
    <xf numFmtId="3" fontId="3" fillId="3" borderId="4" xfId="0" applyNumberFormat="1" applyFont="1" applyFill="1" applyBorder="1" applyAlignment="1">
      <alignment horizontal="right" vertical="center" wrapText="1"/>
    </xf>
    <xf numFmtId="0" fontId="3" fillId="3" borderId="0" xfId="0" applyFont="1" applyFill="1" applyAlignment="1">
      <alignment horizontal="center" vertical="center" wrapText="1"/>
    </xf>
    <xf numFmtId="0" fontId="2" fillId="3" borderId="0" xfId="0" applyFont="1" applyFill="1" applyAlignment="1">
      <alignment horizontal="justify" vertical="center"/>
    </xf>
    <xf numFmtId="14" fontId="3" fillId="3" borderId="0" xfId="0" applyNumberFormat="1" applyFont="1" applyFill="1" applyAlignment="1">
      <alignment vertical="center"/>
    </xf>
    <xf numFmtId="0" fontId="2" fillId="3" borderId="0" xfId="0" applyFont="1" applyFill="1" applyAlignment="1">
      <alignment horizontal="right" vertical="center"/>
    </xf>
    <xf numFmtId="0" fontId="3" fillId="3" borderId="0" xfId="0" applyFont="1" applyFill="1" applyAlignment="1">
      <alignment vertical="center" wrapText="1"/>
    </xf>
    <xf numFmtId="0" fontId="10" fillId="2" borderId="0" xfId="0" applyFont="1" applyFill="1" applyAlignment="1">
      <alignment vertical="center"/>
    </xf>
    <xf numFmtId="0" fontId="0" fillId="3" borderId="0" xfId="0" applyFill="1"/>
    <xf numFmtId="0" fontId="8" fillId="3" borderId="0" xfId="0" applyFont="1" applyFill="1" applyAlignment="1">
      <alignment vertical="center" wrapText="1"/>
    </xf>
    <xf numFmtId="0" fontId="9" fillId="3" borderId="0" xfId="0" applyFont="1" applyFill="1" applyAlignment="1">
      <alignment horizontal="center" vertical="center" wrapText="1"/>
    </xf>
    <xf numFmtId="0" fontId="10" fillId="3" borderId="0" xfId="0" applyFont="1" applyFill="1" applyAlignment="1">
      <alignment vertical="center"/>
    </xf>
    <xf numFmtId="0" fontId="11" fillId="3" borderId="0" xfId="0" applyFont="1" applyFill="1" applyAlignment="1">
      <alignment horizontal="center" vertical="center"/>
    </xf>
    <xf numFmtId="0" fontId="11" fillId="3" borderId="0" xfId="0" applyFont="1" applyFill="1" applyAlignment="1">
      <alignment vertical="center"/>
    </xf>
    <xf numFmtId="0" fontId="14" fillId="3" borderId="0" xfId="0" applyFont="1" applyFill="1" applyAlignment="1">
      <alignment vertical="center"/>
    </xf>
    <xf numFmtId="0" fontId="12" fillId="3" borderId="0" xfId="0" applyFont="1" applyFill="1" applyAlignment="1">
      <alignment horizontal="left" vertical="center"/>
    </xf>
    <xf numFmtId="0" fontId="8" fillId="3" borderId="0" xfId="0" applyFont="1" applyFill="1" applyAlignment="1">
      <alignment horizontal="left" vertical="center" wrapText="1"/>
    </xf>
    <xf numFmtId="164" fontId="12" fillId="3" borderId="0" xfId="0" applyNumberFormat="1" applyFont="1" applyFill="1" applyAlignment="1">
      <alignment horizontal="justify" vertical="center" wrapText="1"/>
    </xf>
    <xf numFmtId="0" fontId="12" fillId="3" borderId="0" xfId="0" applyFont="1" applyFill="1" applyAlignment="1">
      <alignment horizontal="justify" vertical="center" wrapText="1"/>
    </xf>
    <xf numFmtId="0" fontId="17" fillId="3" borderId="0" xfId="0" applyFont="1" applyFill="1"/>
    <xf numFmtId="0" fontId="7" fillId="3" borderId="0" xfId="0" applyFont="1" applyFill="1" applyAlignment="1">
      <alignment vertical="center" wrapText="1"/>
    </xf>
    <xf numFmtId="0" fontId="12" fillId="3" borderId="0" xfId="0" applyFont="1" applyFill="1" applyAlignment="1">
      <alignment horizontal="center" vertical="center"/>
    </xf>
    <xf numFmtId="0" fontId="12" fillId="3" borderId="0" xfId="0" quotePrefix="1" applyFont="1" applyFill="1" applyAlignment="1">
      <alignment horizontal="left" vertical="center"/>
    </xf>
    <xf numFmtId="0" fontId="12" fillId="3" borderId="0" xfId="0" applyFont="1" applyFill="1" applyAlignment="1">
      <alignment horizontal="justify" vertical="center"/>
    </xf>
    <xf numFmtId="0" fontId="1" fillId="3" borderId="0" xfId="0" applyFont="1" applyFill="1"/>
    <xf numFmtId="0" fontId="18" fillId="3" borderId="0" xfId="0" applyFont="1" applyFill="1" applyAlignment="1">
      <alignment vertical="center" wrapText="1"/>
    </xf>
    <xf numFmtId="0" fontId="17" fillId="3" borderId="0" xfId="0" applyFont="1" applyFill="1" applyAlignment="1">
      <alignment horizontal="left" vertical="center" wrapText="1"/>
    </xf>
    <xf numFmtId="0" fontId="8" fillId="3" borderId="0" xfId="0" quotePrefix="1" applyFont="1" applyFill="1" applyAlignment="1">
      <alignment vertical="center" wrapText="1"/>
    </xf>
    <xf numFmtId="0" fontId="14" fillId="3" borderId="0" xfId="0" applyFont="1" applyFill="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0" xfId="0" applyFont="1" applyAlignment="1">
      <alignment horizontal="center"/>
    </xf>
    <xf numFmtId="0" fontId="2" fillId="0" borderId="9" xfId="0" quotePrefix="1" applyFont="1" applyBorder="1"/>
    <xf numFmtId="0" fontId="1" fillId="0" borderId="0" xfId="0" quotePrefix="1" applyFont="1"/>
    <xf numFmtId="0" fontId="3" fillId="3" borderId="0" xfId="0" applyFont="1" applyFill="1" applyAlignment="1">
      <alignment horizontal="left" vertical="center"/>
    </xf>
    <xf numFmtId="165" fontId="2" fillId="0" borderId="10" xfId="1" applyNumberFormat="1" applyFont="1" applyBorder="1"/>
    <xf numFmtId="0" fontId="1" fillId="0" borderId="0" xfId="0" applyFont="1" applyAlignment="1">
      <alignment horizontal="left"/>
    </xf>
    <xf numFmtId="165" fontId="1" fillId="2" borderId="0" xfId="1" applyNumberFormat="1" applyFont="1" applyFill="1"/>
    <xf numFmtId="0" fontId="1" fillId="2" borderId="0" xfId="0" applyFont="1" applyFill="1"/>
    <xf numFmtId="14" fontId="2" fillId="0" borderId="9" xfId="0" applyNumberFormat="1" applyFont="1" applyBorder="1"/>
    <xf numFmtId="0" fontId="2" fillId="0" borderId="13" xfId="0" applyFont="1" applyBorder="1"/>
    <xf numFmtId="0" fontId="2" fillId="0" borderId="14" xfId="0" applyFont="1" applyBorder="1"/>
    <xf numFmtId="0" fontId="27" fillId="0" borderId="0" xfId="0" applyFont="1" applyAlignment="1">
      <alignment horizontal="centerContinuous"/>
    </xf>
    <xf numFmtId="0" fontId="1" fillId="0" borderId="0" xfId="0" applyFont="1" applyAlignment="1">
      <alignment horizontal="centerContinuous"/>
    </xf>
    <xf numFmtId="0" fontId="8" fillId="0" borderId="0" xfId="0" applyFont="1" applyAlignment="1">
      <alignment horizontal="centerContinuous"/>
    </xf>
    <xf numFmtId="164" fontId="1" fillId="0" borderId="0" xfId="0" applyNumberFormat="1" applyFont="1"/>
    <xf numFmtId="0" fontId="27" fillId="0" borderId="0" xfId="0" applyFont="1"/>
    <xf numFmtId="164" fontId="27" fillId="0" borderId="0" xfId="0" applyNumberFormat="1" applyFont="1"/>
    <xf numFmtId="12" fontId="1" fillId="0" borderId="0" xfId="0" applyNumberFormat="1" applyFont="1" applyAlignment="1">
      <alignment horizontal="centerContinuous"/>
    </xf>
    <xf numFmtId="12" fontId="1" fillId="0" borderId="0" xfId="0" applyNumberFormat="1" applyFont="1" applyAlignment="1">
      <alignment horizontal="left"/>
    </xf>
    <xf numFmtId="166" fontId="1" fillId="0" borderId="0" xfId="0" applyNumberFormat="1" applyFont="1" applyAlignment="1">
      <alignment horizontal="centerContinuous"/>
    </xf>
    <xf numFmtId="0" fontId="1" fillId="0" borderId="0" xfId="0" applyFont="1" applyAlignment="1">
      <alignment horizontal="right"/>
    </xf>
    <xf numFmtId="0" fontId="1" fillId="0" borderId="0" xfId="0" applyFont="1" applyAlignment="1">
      <alignment wrapText="1"/>
    </xf>
    <xf numFmtId="0" fontId="28" fillId="0" borderId="0" xfId="2" applyFont="1"/>
    <xf numFmtId="0" fontId="2" fillId="3" borderId="0" xfId="0" quotePrefix="1" applyFont="1" applyFill="1"/>
    <xf numFmtId="0" fontId="2" fillId="0" borderId="9" xfId="0" applyFont="1" applyBorder="1" applyAlignment="1">
      <alignment vertical="center"/>
    </xf>
    <xf numFmtId="3" fontId="2" fillId="0" borderId="9" xfId="0" applyNumberFormat="1" applyFont="1" applyBorder="1" applyAlignment="1">
      <alignment vertical="center"/>
    </xf>
    <xf numFmtId="165" fontId="2" fillId="0" borderId="9" xfId="1" applyNumberFormat="1" applyFont="1" applyBorder="1" applyAlignment="1">
      <alignment vertical="center"/>
    </xf>
    <xf numFmtId="166" fontId="2" fillId="3" borderId="0" xfId="0" applyNumberFormat="1" applyFont="1" applyFill="1" applyAlignment="1">
      <alignment horizontal="centerContinuous"/>
    </xf>
    <xf numFmtId="0" fontId="2" fillId="3" borderId="0" xfId="0" applyFont="1" applyFill="1" applyAlignment="1">
      <alignment horizontal="centerContinuous"/>
    </xf>
    <xf numFmtId="0" fontId="10" fillId="2" borderId="0" xfId="0" quotePrefix="1" applyFont="1" applyFill="1" applyAlignment="1">
      <alignment vertical="center"/>
    </xf>
    <xf numFmtId="0" fontId="23" fillId="3" borderId="0" xfId="0" applyFont="1" applyFill="1" applyAlignment="1">
      <alignment horizontal="left" vertical="center" wrapText="1"/>
    </xf>
    <xf numFmtId="0" fontId="17" fillId="3" borderId="0" xfId="0" quotePrefix="1" applyFont="1" applyFill="1" applyAlignment="1">
      <alignment vertical="center"/>
    </xf>
    <xf numFmtId="0" fontId="17" fillId="3" borderId="0" xfId="0" applyFont="1" applyFill="1" applyAlignment="1">
      <alignment vertical="center"/>
    </xf>
    <xf numFmtId="0" fontId="30" fillId="3" borderId="0" xfId="0" applyFont="1" applyFill="1"/>
    <xf numFmtId="0" fontId="29" fillId="3" borderId="0" xfId="0" quotePrefix="1" applyFont="1" applyFill="1" applyAlignment="1">
      <alignment vertical="center"/>
    </xf>
    <xf numFmtId="0" fontId="29" fillId="3" borderId="0" xfId="0" applyFont="1" applyFill="1" applyAlignment="1">
      <alignmen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164" fontId="17" fillId="3" borderId="0" xfId="0" applyNumberFormat="1" applyFont="1" applyFill="1" applyAlignment="1">
      <alignment horizontal="justify" vertical="center" wrapText="1"/>
    </xf>
    <xf numFmtId="0" fontId="17" fillId="3" borderId="0" xfId="0" applyFont="1" applyFill="1" applyAlignment="1">
      <alignment horizontal="right" vertical="center" wrapText="1"/>
    </xf>
    <xf numFmtId="0" fontId="17" fillId="3" borderId="0" xfId="0" applyFont="1" applyFill="1" applyAlignment="1">
      <alignment horizontal="justify" vertical="center" wrapText="1"/>
    </xf>
    <xf numFmtId="12" fontId="17" fillId="3" borderId="0" xfId="0" applyNumberFormat="1" applyFont="1" applyFill="1" applyAlignment="1">
      <alignment vertical="center" wrapText="1"/>
    </xf>
    <xf numFmtId="0" fontId="23" fillId="3" borderId="0" xfId="0" applyFont="1" applyFill="1" applyAlignment="1">
      <alignment horizontal="justify" vertical="center" wrapText="1"/>
    </xf>
    <xf numFmtId="3" fontId="17" fillId="3" borderId="0" xfId="0" quotePrefix="1" applyNumberFormat="1" applyFont="1" applyFill="1" applyAlignment="1">
      <alignment horizontal="left" vertical="center" wrapText="1"/>
    </xf>
    <xf numFmtId="0" fontId="17" fillId="3" borderId="0" xfId="0" applyFont="1" applyFill="1" applyAlignment="1">
      <alignment vertical="center" wrapText="1"/>
    </xf>
    <xf numFmtId="0" fontId="32" fillId="3" borderId="0" xfId="0" applyFont="1" applyFill="1" applyAlignment="1">
      <alignment horizontal="left" vertical="center"/>
    </xf>
    <xf numFmtId="0" fontId="17" fillId="3" borderId="0" xfId="0" applyFont="1" applyFill="1" applyAlignment="1">
      <alignment horizontal="center" vertical="center"/>
    </xf>
    <xf numFmtId="0" fontId="33" fillId="3" borderId="0" xfId="0" applyFont="1" applyFill="1" applyAlignment="1">
      <alignment horizontal="justify" vertical="center"/>
    </xf>
    <xf numFmtId="0" fontId="17" fillId="3" borderId="0" xfId="0" quotePrefix="1" applyFont="1" applyFill="1" applyAlignment="1">
      <alignment horizontal="left" vertical="center"/>
    </xf>
    <xf numFmtId="0" fontId="17" fillId="3" borderId="0" xfId="0" applyFont="1" applyFill="1" applyAlignment="1">
      <alignment horizontal="left"/>
    </xf>
    <xf numFmtId="0" fontId="34" fillId="3" borderId="0" xfId="0" applyFont="1" applyFill="1" applyAlignment="1">
      <alignment horizontal="left" vertical="center"/>
    </xf>
    <xf numFmtId="0" fontId="35" fillId="3" borderId="0" xfId="0" applyFont="1" applyFill="1" applyAlignment="1">
      <alignment horizontal="left" vertical="center"/>
    </xf>
    <xf numFmtId="0" fontId="35" fillId="3" borderId="0" xfId="0" quotePrefix="1" applyFont="1" applyFill="1" applyAlignment="1">
      <alignment horizontal="left" vertical="center"/>
    </xf>
    <xf numFmtId="0" fontId="36" fillId="3" borderId="0" xfId="0" applyFont="1" applyFill="1"/>
    <xf numFmtId="0" fontId="34" fillId="3" borderId="0" xfId="0" applyFont="1" applyFill="1" applyAlignment="1">
      <alignment horizontal="center" vertical="center"/>
    </xf>
    <xf numFmtId="0" fontId="23" fillId="3" borderId="0" xfId="0" applyFont="1" applyFill="1" applyAlignment="1">
      <alignment horizontal="left" vertical="center"/>
    </xf>
    <xf numFmtId="0" fontId="3" fillId="3" borderId="0" xfId="0" applyFont="1" applyFill="1" applyAlignment="1">
      <alignment horizontal="left"/>
    </xf>
    <xf numFmtId="0" fontId="12" fillId="0" borderId="6" xfId="0" applyFont="1" applyBorder="1" applyAlignment="1">
      <alignment horizontal="center" wrapText="1"/>
    </xf>
    <xf numFmtId="12" fontId="1" fillId="0" borderId="0" xfId="0" quotePrefix="1" applyNumberFormat="1" applyFont="1"/>
    <xf numFmtId="0" fontId="10" fillId="3" borderId="0" xfId="0" applyFont="1" applyFill="1" applyAlignment="1">
      <alignment horizontal="center" vertical="center"/>
    </xf>
    <xf numFmtId="0" fontId="21" fillId="3" borderId="0" xfId="0" applyFont="1" applyFill="1" applyAlignment="1">
      <alignment vertical="center"/>
    </xf>
    <xf numFmtId="14" fontId="1" fillId="3" borderId="0" xfId="0" applyNumberFormat="1" applyFont="1" applyFill="1"/>
    <xf numFmtId="0" fontId="1" fillId="3" borderId="0" xfId="0" applyFont="1" applyFill="1" applyAlignment="1">
      <alignment horizontal="left" vertical="center"/>
    </xf>
    <xf numFmtId="0" fontId="22" fillId="3" borderId="0" xfId="0" applyFont="1" applyFill="1" applyAlignment="1">
      <alignment horizontal="left" vertical="center"/>
    </xf>
    <xf numFmtId="165" fontId="1" fillId="3" borderId="0" xfId="1" applyNumberFormat="1" applyFont="1" applyFill="1"/>
    <xf numFmtId="0" fontId="5" fillId="3" borderId="0" xfId="0" applyFont="1" applyFill="1" applyAlignment="1">
      <alignment horizontal="right" vertical="center"/>
    </xf>
    <xf numFmtId="0" fontId="26" fillId="3" borderId="0" xfId="0" applyFont="1" applyFill="1" applyAlignment="1">
      <alignment horizontal="center" vertical="center"/>
    </xf>
    <xf numFmtId="0" fontId="24" fillId="3" borderId="0" xfId="0" applyFont="1" applyFill="1" applyAlignment="1">
      <alignment horizontal="left" vertical="center"/>
    </xf>
    <xf numFmtId="165" fontId="17" fillId="3" borderId="0" xfId="1" applyNumberFormat="1" applyFont="1" applyFill="1" applyAlignment="1">
      <alignment horizontal="left" vertical="center"/>
    </xf>
    <xf numFmtId="3" fontId="17" fillId="3" borderId="0" xfId="0" applyNumberFormat="1" applyFont="1" applyFill="1" applyAlignment="1">
      <alignment horizontal="left" vertical="center"/>
    </xf>
    <xf numFmtId="0" fontId="23" fillId="3" borderId="0" xfId="0" applyFont="1" applyFill="1" applyAlignment="1">
      <alignment vertical="center"/>
    </xf>
    <xf numFmtId="0" fontId="23" fillId="3" borderId="0" xfId="0" quotePrefix="1" applyFont="1" applyFill="1" applyAlignment="1">
      <alignment vertical="center"/>
    </xf>
    <xf numFmtId="0" fontId="1" fillId="3" borderId="0" xfId="0" applyFont="1" applyFill="1" applyAlignment="1">
      <alignment horizontal="left"/>
    </xf>
    <xf numFmtId="0" fontId="25" fillId="3" borderId="0" xfId="0" applyFont="1" applyFill="1" applyAlignment="1">
      <alignment vertical="center"/>
    </xf>
    <xf numFmtId="0" fontId="2" fillId="3" borderId="0" xfId="0" applyFont="1" applyFill="1" applyAlignment="1">
      <alignment horizontal="left" vertical="center" indent="5"/>
    </xf>
    <xf numFmtId="49" fontId="8" fillId="3" borderId="0" xfId="0" quotePrefix="1" applyNumberFormat="1" applyFont="1" applyFill="1" applyAlignment="1">
      <alignment vertical="center" wrapText="1"/>
    </xf>
    <xf numFmtId="49" fontId="2" fillId="3" borderId="0" xfId="0" quotePrefix="1" applyNumberFormat="1" applyFont="1" applyFill="1"/>
    <xf numFmtId="0" fontId="8" fillId="3" borderId="0" xfId="0" quotePrefix="1" applyFont="1" applyFill="1" applyAlignment="1">
      <alignment horizontal="left" vertical="center" wrapText="1"/>
    </xf>
    <xf numFmtId="165" fontId="2" fillId="0" borderId="10" xfId="0" applyNumberFormat="1" applyFont="1" applyBorder="1"/>
    <xf numFmtId="0" fontId="0" fillId="3" borderId="4" xfId="0" applyFill="1" applyBorder="1" applyAlignment="1">
      <alignment horizontal="center" vertical="center" wrapText="1"/>
    </xf>
    <xf numFmtId="0" fontId="0" fillId="3" borderId="4" xfId="0" applyFill="1" applyBorder="1" applyAlignment="1">
      <alignment vertical="center" wrapText="1"/>
    </xf>
    <xf numFmtId="3" fontId="0" fillId="3" borderId="4" xfId="0" applyNumberFormat="1" applyFill="1" applyBorder="1" applyAlignment="1">
      <alignment horizontal="right" vertical="center" wrapText="1"/>
    </xf>
    <xf numFmtId="0" fontId="2" fillId="0" borderId="9" xfId="0" applyFont="1" applyBorder="1" applyAlignment="1">
      <alignment wrapText="1"/>
    </xf>
    <xf numFmtId="165" fontId="2" fillId="0" borderId="0" xfId="0" applyNumberFormat="1" applyFont="1"/>
    <xf numFmtId="165" fontId="2" fillId="0" borderId="0" xfId="1" applyNumberFormat="1" applyFont="1" applyBorder="1"/>
    <xf numFmtId="0" fontId="17" fillId="3" borderId="0" xfId="0" applyFont="1" applyFill="1" applyAlignment="1">
      <alignment horizontal="left" vertical="center" wrapText="1"/>
    </xf>
    <xf numFmtId="0" fontId="17" fillId="3" borderId="0" xfId="0" quotePrefix="1" applyFont="1" applyFill="1" applyAlignment="1">
      <alignment horizontal="left" vertical="center"/>
    </xf>
    <xf numFmtId="0" fontId="17" fillId="3" borderId="0" xfId="0" applyFont="1" applyFill="1" applyAlignment="1">
      <alignment horizontal="left" vertical="center"/>
    </xf>
    <xf numFmtId="0" fontId="16" fillId="3" borderId="0" xfId="0" applyFont="1" applyFill="1" applyAlignment="1">
      <alignment horizontal="left" vertical="center"/>
    </xf>
    <xf numFmtId="12" fontId="17" fillId="3" borderId="0" xfId="0" applyNumberFormat="1" applyFont="1" applyFill="1" applyAlignment="1">
      <alignment horizontal="left" vertical="center" wrapText="1"/>
    </xf>
    <xf numFmtId="0" fontId="17" fillId="3" borderId="0" xfId="0" applyFont="1" applyFill="1" applyAlignment="1">
      <alignment horizontal="justify" vertical="center" wrapText="1"/>
    </xf>
    <xf numFmtId="0" fontId="4" fillId="3" borderId="0" xfId="0" applyFont="1" applyFill="1" applyAlignment="1">
      <alignment horizontal="left" vertical="center" wrapText="1"/>
    </xf>
    <xf numFmtId="0" fontId="8" fillId="3" borderId="0" xfId="0" applyFont="1" applyFill="1" applyAlignment="1">
      <alignment horizontal="left" vertical="center" wrapText="1"/>
    </xf>
    <xf numFmtId="167" fontId="17" fillId="3" borderId="0" xfId="0" quotePrefix="1" applyNumberFormat="1" applyFont="1" applyFill="1" applyAlignment="1">
      <alignment horizontal="left" vertical="center" wrapText="1"/>
    </xf>
    <xf numFmtId="0" fontId="23" fillId="3" borderId="0" xfId="0" applyFont="1" applyFill="1" applyAlignment="1">
      <alignment horizontal="left" vertical="center" wrapText="1"/>
    </xf>
    <xf numFmtId="167" fontId="17" fillId="3" borderId="0" xfId="0" applyNumberFormat="1" applyFont="1" applyFill="1" applyAlignment="1">
      <alignment horizontal="left" vertical="center" wrapText="1"/>
    </xf>
    <xf numFmtId="0" fontId="23" fillId="3" borderId="0" xfId="0" quotePrefix="1" applyFont="1" applyFill="1" applyAlignment="1">
      <alignment horizontal="left" vertical="center"/>
    </xf>
    <xf numFmtId="0" fontId="23" fillId="3" borderId="0" xfId="0" applyFont="1" applyFill="1" applyAlignment="1">
      <alignment horizontal="left" vertical="center"/>
    </xf>
    <xf numFmtId="0" fontId="34" fillId="3" borderId="0" xfId="0" quotePrefix="1" applyFont="1" applyFill="1" applyAlignment="1">
      <alignment horizontal="left" vertical="center"/>
    </xf>
    <xf numFmtId="0" fontId="34" fillId="3" borderId="0" xfId="0" applyFont="1" applyFill="1" applyAlignment="1">
      <alignment horizontal="left" vertical="center"/>
    </xf>
    <xf numFmtId="0" fontId="8" fillId="3" borderId="0" xfId="0" applyFont="1" applyFill="1" applyAlignment="1">
      <alignment horizontal="center" vertical="center" wrapText="1"/>
    </xf>
    <xf numFmtId="0" fontId="11" fillId="3" borderId="0" xfId="0" applyFont="1" applyFill="1" applyAlignment="1">
      <alignment horizontal="center" vertical="center"/>
    </xf>
    <xf numFmtId="0" fontId="10" fillId="3" borderId="0" xfId="0" applyFont="1" applyFill="1" applyAlignment="1">
      <alignment horizontal="center" vertical="center"/>
    </xf>
    <xf numFmtId="0" fontId="8" fillId="3" borderId="0" xfId="0" applyFont="1" applyFill="1" applyAlignment="1">
      <alignment horizontal="right" vertical="center" wrapText="1"/>
    </xf>
    <xf numFmtId="12" fontId="31" fillId="3" borderId="0" xfId="2" applyNumberFormat="1" applyFont="1" applyFill="1" applyAlignment="1">
      <alignment horizontal="left" vertical="center" wrapText="1"/>
    </xf>
    <xf numFmtId="0" fontId="32" fillId="3" borderId="0" xfId="0" applyFont="1" applyFill="1" applyAlignment="1">
      <alignment horizontal="left" vertical="center"/>
    </xf>
    <xf numFmtId="0" fontId="15" fillId="3" borderId="0" xfId="0" applyFont="1" applyFill="1" applyAlignment="1">
      <alignment horizontal="left" vertical="center"/>
    </xf>
    <xf numFmtId="0" fontId="3" fillId="3" borderId="0" xfId="0" applyFont="1" applyFill="1" applyAlignment="1">
      <alignment horizontal="left" vertical="top" wrapText="1"/>
    </xf>
    <xf numFmtId="0" fontId="2" fillId="3" borderId="0" xfId="0" applyFont="1" applyFill="1" applyAlignment="1">
      <alignment horizontal="left" vertical="center"/>
    </xf>
    <xf numFmtId="164" fontId="2" fillId="3" borderId="0" xfId="0" applyNumberFormat="1" applyFont="1" applyFill="1" applyAlignment="1">
      <alignment horizontal="center"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11"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3" borderId="0" xfId="0" applyFont="1" applyFill="1" applyAlignment="1">
      <alignment horizontal="left" vertical="center" wrapText="1"/>
    </xf>
    <xf numFmtId="0" fontId="2" fillId="3" borderId="0" xfId="0" applyFont="1" applyFill="1" applyAlignment="1">
      <alignment horizontal="left"/>
    </xf>
    <xf numFmtId="0" fontId="8" fillId="3" borderId="0" xfId="0" applyFont="1" applyFill="1" applyAlignment="1">
      <alignment horizontal="center" vertical="center"/>
    </xf>
    <xf numFmtId="0" fontId="24" fillId="3" borderId="0" xfId="0" applyFont="1" applyFill="1" applyAlignment="1">
      <alignment horizontal="center" vertical="center"/>
    </xf>
    <xf numFmtId="0" fontId="19" fillId="3" borderId="0" xfId="0" applyFont="1" applyFill="1" applyAlignment="1">
      <alignment horizontal="center" vertical="center"/>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0" fontId="3" fillId="3" borderId="0" xfId="0" applyFont="1" applyFill="1" applyAlignment="1">
      <alignment horizontal="center" vertical="center" wrapText="1"/>
    </xf>
    <xf numFmtId="12" fontId="1" fillId="0" borderId="0" xfId="0" applyNumberFormat="1" applyFont="1" applyAlignment="1">
      <alignment horizontal="left"/>
    </xf>
    <xf numFmtId="0" fontId="3" fillId="3" borderId="0" xfId="0" applyFont="1" applyFill="1" applyAlignment="1">
      <alignment horizontal="center" wrapText="1"/>
    </xf>
    <xf numFmtId="0" fontId="0" fillId="3" borderId="0" xfId="0" applyFill="1" applyAlignment="1">
      <alignment horizontal="center" wrapText="1"/>
    </xf>
    <xf numFmtId="166" fontId="17" fillId="3" borderId="0" xfId="0" applyNumberFormat="1" applyFont="1" applyFill="1" applyAlignment="1">
      <alignment horizontal="left" vertical="center"/>
    </xf>
    <xf numFmtId="165" fontId="17" fillId="3" borderId="0" xfId="0" applyNumberFormat="1" applyFont="1" applyFill="1" applyAlignment="1">
      <alignment horizontal="center" readingOrder="1"/>
    </xf>
    <xf numFmtId="0" fontId="2" fillId="0" borderId="8" xfId="0" applyNumberFormat="1" applyFont="1" applyBorder="1"/>
    <xf numFmtId="0" fontId="2" fillId="0" borderId="9" xfId="0" applyNumberFormat="1" applyFont="1" applyBorder="1"/>
  </cellXfs>
  <cellStyles count="3">
    <cellStyle name="Comma" xfId="1" builtinId="3"/>
    <cellStyle name="Hyperlink" xfId="2" builtinId="8"/>
    <cellStyle name="Normal" xfId="0" builtinId="0"/>
  </cellStyles>
  <dxfs count="48">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65" formatCode="_-* #,##0_-;\-* #,##0_-;_-* &quot;-&quot;??_-;_-@_-"/>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right style="thin">
          <color indexed="64"/>
        </right>
        <top style="thin">
          <color indexed="64"/>
        </top>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17" formatCode="#\ ?/?"/>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5" formatCode="_-* #,##0_-;\-* #,##0_-;_-* &quot;-&quot;??_-;_-@_-"/>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Times New Roman"/>
        <family val="1"/>
        <scheme val="none"/>
      </font>
      <numFmt numFmtId="165" formatCode="_-* #,##0_-;\-* #,##0_-;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0" formatCode="Genera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0" formatCode="Genera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0" formatCode="Genera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0" formatCode="General"/>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dxf>
    <dxf>
      <border outline="0">
        <bottom style="thin">
          <color indexed="64"/>
        </bottom>
      </border>
    </dxf>
    <dxf>
      <font>
        <b val="0"/>
        <i val="0"/>
        <strike val="0"/>
        <condense val="0"/>
        <extend val="0"/>
        <outline val="0"/>
        <shadow val="0"/>
        <u val="none"/>
        <vertAlign val="baseline"/>
        <sz val="13"/>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45720</xdr:colOff>
      <xdr:row>2</xdr:row>
      <xdr:rowOff>15240</xdr:rowOff>
    </xdr:from>
    <xdr:to>
      <xdr:col>11</xdr:col>
      <xdr:colOff>388620</xdr:colOff>
      <xdr:row>2</xdr:row>
      <xdr:rowOff>15240</xdr:rowOff>
    </xdr:to>
    <xdr:sp macro="" textlink="">
      <xdr:nvSpPr>
        <xdr:cNvPr id="7177" name="Line 9">
          <a:extLst>
            <a:ext uri="{FF2B5EF4-FFF2-40B4-BE49-F238E27FC236}">
              <a16:creationId xmlns:a16="http://schemas.microsoft.com/office/drawing/2014/main" id="{5329020B-B603-93A8-9D65-553E8F0199CF}"/>
            </a:ext>
          </a:extLst>
        </xdr:cNvPr>
        <xdr:cNvSpPr>
          <a:spLocks noChangeShapeType="1"/>
        </xdr:cNvSpPr>
      </xdr:nvSpPr>
      <xdr:spPr bwMode="auto">
        <a:xfrm>
          <a:off x="1874520" y="381000"/>
          <a:ext cx="21717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144779</xdr:colOff>
      <xdr:row>21</xdr:row>
      <xdr:rowOff>167640</xdr:rowOff>
    </xdr:from>
    <xdr:to>
      <xdr:col>10</xdr:col>
      <xdr:colOff>331672</xdr:colOff>
      <xdr:row>30</xdr:row>
      <xdr:rowOff>167639</xdr:rowOff>
    </xdr:to>
    <xdr:pic>
      <xdr:nvPicPr>
        <xdr:cNvPr id="2" name="Picture 1">
          <a:extLst>
            <a:ext uri="{FF2B5EF4-FFF2-40B4-BE49-F238E27FC236}">
              <a16:creationId xmlns:a16="http://schemas.microsoft.com/office/drawing/2014/main" id="{11E637ED-0943-ADD4-F45B-4E4FBA703EBA}"/>
            </a:ext>
          </a:extLst>
        </xdr:cNvPr>
        <xdr:cNvPicPr>
          <a:picLocks noChangeAspect="1"/>
        </xdr:cNvPicPr>
      </xdr:nvPicPr>
      <xdr:blipFill>
        <a:blip xmlns:r="http://schemas.openxmlformats.org/officeDocument/2006/relationships" r:embed="rId1"/>
        <a:stretch>
          <a:fillRect/>
        </a:stretch>
      </xdr:blipFill>
      <xdr:spPr>
        <a:xfrm>
          <a:off x="3208019" y="4518660"/>
          <a:ext cx="2472893" cy="16459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Program%20Files%20(x86)\vnTools\Ufunctions.xlam" TargetMode="External"/><Relationship Id="rId1" Type="http://schemas.openxmlformats.org/officeDocument/2006/relationships/externalLinkPath" Target="file:///C:\Program%20Files%20(x86)\vnTools\Ufunctions.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iBase"/>
      <sheetName val="vniBase"/>
      <sheetName val="abcBase"/>
    </sheetNames>
    <definedNames>
      <definedName name="VND"/>
    </defined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8124EA-5CEA-443E-A291-77832222F812}" name="Table2" displayName="Table2" ref="C6:K38" totalsRowShown="0" headerRowDxfId="31" dataDxfId="30">
  <autoFilter ref="C6:K38" xr:uid="{298124EA-5CEA-443E-A291-77832222F812}"/>
  <tableColumns count="9">
    <tableColumn id="1" xr3:uid="{88FD66DD-50FD-4826-96F0-ADB5229135E3}" name="MST" dataDxfId="29"/>
    <tableColumn id="2" xr3:uid="{220DD321-6B2B-4DE9-A93A-4EBD0DA1F4AC}" name="Tên khách hàng" dataDxfId="28"/>
    <tableColumn id="3" xr3:uid="{31D131A3-EDB2-4F8E-B401-E3B85E938351}" name="Địa chỉ" dataDxfId="27"/>
    <tableColumn id="4" xr3:uid="{2DE65D2A-5685-4083-8D7B-48146DA88C1F}" name="Người đại diện" dataDxfId="26"/>
    <tableColumn id="5" xr3:uid="{4057307D-DC55-419C-BDCB-4F9F39051ECC}" name="Chức vụ" dataDxfId="25"/>
    <tableColumn id="6" xr3:uid="{AEEC6095-7CCC-49C5-8E9C-8BDF133D7DF8}" name="STK 1" dataDxfId="24"/>
    <tableColumn id="7" xr3:uid="{E7008409-9EBB-4DED-90C7-B7961F9AD102}" name="Ngân hàng 1" dataDxfId="23"/>
    <tableColumn id="8" xr3:uid="{62849898-9329-436D-A5C8-C82389B28A10}" name="STK 2" dataDxfId="22"/>
    <tableColumn id="9" xr3:uid="{391FCE11-E311-484B-BB4A-877CECE265A3}" name="Ngân hàng 2"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A221FA-DCB3-4324-BEFF-9698C7237DA1}" name="Table1" displayName="Table1" ref="A7:K111" totalsRowCount="1" headerRowDxfId="47" dataDxfId="45" headerRowBorderDxfId="46" tableBorderDxfId="44" totalsRowBorderDxfId="43">
  <autoFilter ref="A7:K110" xr:uid="{61A221FA-DCB3-4324-BEFF-9698C7237DA1}"/>
  <tableColumns count="11">
    <tableColumn id="1" xr3:uid="{7610E182-D4A7-46BB-95C8-B59B3A9879E8}" name="Đếm" totalsRowLabel="Total" dataDxfId="42" totalsRowDxfId="12">
      <calculatedColumnFormula>IF(Table1[[#This Row],[Số HĐ]]=BBVC!$R$2,MAX(DATA!A7:A7)+1,"")</calculatedColumnFormula>
    </tableColumn>
    <tableColumn id="2" xr3:uid="{F95C0DD0-F534-4453-9F3E-FE168923D193}" name="Số HĐ" dataDxfId="41" totalsRowDxfId="11">
      <calculatedColumnFormula>SUBTOTAL(3,$G$8:G8)</calculatedColumnFormula>
    </tableColumn>
    <tableColumn id="3" xr3:uid="{12B09624-2816-4152-A440-2E01B5B27636}" name="Ngày tháng" dataDxfId="40" totalsRowDxfId="10"/>
    <tableColumn id="4" xr3:uid="{46B84958-6744-4867-9F26-F48EA5EB7F08}" name="MST" dataDxfId="39" totalsRowDxfId="9"/>
    <tableColumn id="5" xr3:uid="{5CB9F0F5-0D2A-40CF-AE10-9146D2A0CBB7}" name="Tên đơn vị" dataDxfId="38" totalsRowDxfId="8">
      <calculatedColumnFormula>VLOOKUP(Table1[[#This Row],[MST]],Table2[#All],2,0)</calculatedColumnFormula>
    </tableColumn>
    <tableColumn id="6" xr3:uid="{C48C4A15-891A-445D-9387-C351E590680F}" name="Địa chỉ" dataDxfId="37" totalsRowDxfId="7">
      <calculatedColumnFormula>VLOOKUP(Table1[[#This Row],[MST]],Table2[#All],3,0)</calculatedColumnFormula>
    </tableColumn>
    <tableColumn id="7" xr3:uid="{C9576DBD-006E-49AB-A323-6E7E84C77A7C}" name="Tên hàng hóa ,dịch vụ" dataDxfId="36" totalsRowDxfId="6"/>
    <tableColumn id="8" xr3:uid="{26900162-47F8-438D-A270-67B73128C2B3}" name="ĐVT" dataDxfId="35" totalsRowDxfId="5"/>
    <tableColumn id="9" xr3:uid="{67D555A7-E3E1-4856-9C20-DE7750877E76}" name="Số lượng" dataDxfId="34" totalsRowDxfId="4"/>
    <tableColumn id="10" xr3:uid="{0A5B8EBF-792E-45CF-8853-D607D2E21AD8}" name="Đơn giá" dataDxfId="33" totalsRowDxfId="3" dataCellStyle="Comma"/>
    <tableColumn id="11" xr3:uid="{573ABFAF-67C5-42F4-9476-727026693236}" name="Thành tiền" totalsRowFunction="sum" dataDxfId="32" totalsRowDxfId="2" dataCellStyle="Comma">
      <calculatedColumnFormula>Table1[[#This Row],[Số lượng]]*Table1[[#This Row],[Đơn giá]]</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antaidailoxanh2026@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mailto:vantaidailoxanh2026@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778B-31A2-4B4C-862E-456A987B7DAA}">
  <sheetPr>
    <tabColor rgb="FF00B050"/>
  </sheetPr>
  <dimension ref="A1:K92"/>
  <sheetViews>
    <sheetView zoomScaleNormal="100" workbookViewId="0">
      <pane xSplit="2" ySplit="6" topLeftCell="C28" activePane="bottomRight" state="frozen"/>
      <selection pane="topRight" activeCell="C1" sqref="C1"/>
      <selection pane="bottomLeft" activeCell="A7" sqref="A7"/>
      <selection pane="bottomRight" activeCell="E43" sqref="E43"/>
    </sheetView>
  </sheetViews>
  <sheetFormatPr defaultRowHeight="13.8" x14ac:dyDescent="0.25"/>
  <cols>
    <col min="1" max="1" width="5.5546875" style="1" customWidth="1"/>
    <col min="2" max="2" width="3" style="1" customWidth="1"/>
    <col min="3" max="3" width="11" style="1" bestFit="1" customWidth="1"/>
    <col min="4" max="4" width="66.109375" style="1" customWidth="1"/>
    <col min="5" max="5" width="69" style="1" customWidth="1"/>
    <col min="6" max="6" width="12.88671875" style="1" bestFit="1" customWidth="1"/>
    <col min="7" max="7" width="8.77734375" style="1" bestFit="1" customWidth="1"/>
    <col min="8" max="8" width="17.33203125" style="1" bestFit="1" customWidth="1"/>
    <col min="9" max="9" width="41.44140625" style="1" bestFit="1" customWidth="1"/>
    <col min="10" max="10" width="14.21875" style="1" bestFit="1" customWidth="1"/>
    <col min="11" max="11" width="47" style="1" bestFit="1" customWidth="1"/>
    <col min="12" max="16384" width="8.88671875" style="1"/>
  </cols>
  <sheetData>
    <row r="1" spans="1:11" s="2" customFormat="1" ht="15.6" x14ac:dyDescent="0.3">
      <c r="C1" s="3" t="s">
        <v>0</v>
      </c>
    </row>
    <row r="2" spans="1:11" s="2" customFormat="1" ht="15.6" x14ac:dyDescent="0.3">
      <c r="C2" s="2" t="s">
        <v>1</v>
      </c>
    </row>
    <row r="3" spans="1:11" s="2" customFormat="1" ht="15.6" x14ac:dyDescent="0.3">
      <c r="C3" s="2" t="s">
        <v>3</v>
      </c>
    </row>
    <row r="4" spans="1:11" s="2" customFormat="1" ht="15.6" x14ac:dyDescent="0.3"/>
    <row r="6" spans="1:11" x14ac:dyDescent="0.25">
      <c r="A6" s="1" t="s">
        <v>5</v>
      </c>
      <c r="C6" s="1" t="s">
        <v>7</v>
      </c>
      <c r="D6" s="1" t="s">
        <v>31</v>
      </c>
      <c r="E6" s="1" t="s">
        <v>9</v>
      </c>
      <c r="F6" s="1" t="s">
        <v>32</v>
      </c>
      <c r="G6" s="1" t="s">
        <v>33</v>
      </c>
      <c r="H6" s="1" t="s">
        <v>119</v>
      </c>
      <c r="I6" s="1" t="s">
        <v>120</v>
      </c>
      <c r="J6" s="1" t="s">
        <v>121</v>
      </c>
      <c r="K6" s="1" t="s">
        <v>122</v>
      </c>
    </row>
    <row r="7" spans="1:11" x14ac:dyDescent="0.25">
      <c r="A7" s="1" cm="1">
        <f t="array" ref="A7:A92">_xlfn.UNIQUE(Table1[Số HĐ]:Table1[Số HĐ])</f>
        <v>1</v>
      </c>
      <c r="C7" s="56" t="s">
        <v>88</v>
      </c>
      <c r="D7" s="1" t="s">
        <v>89</v>
      </c>
      <c r="E7" s="1" t="s">
        <v>90</v>
      </c>
      <c r="F7" s="1" t="s">
        <v>380</v>
      </c>
      <c r="G7" s="1" t="s">
        <v>34</v>
      </c>
      <c r="H7" s="8">
        <v>21100164008</v>
      </c>
      <c r="I7" s="1" t="s">
        <v>287</v>
      </c>
      <c r="J7" s="8"/>
    </row>
    <row r="8" spans="1:11" ht="27.6" x14ac:dyDescent="0.25">
      <c r="A8" s="1">
        <v>2</v>
      </c>
      <c r="C8" s="56" t="s">
        <v>91</v>
      </c>
      <c r="D8" s="75" t="s">
        <v>92</v>
      </c>
      <c r="E8" s="1" t="s">
        <v>93</v>
      </c>
      <c r="F8" s="1" t="s">
        <v>351</v>
      </c>
      <c r="G8" s="1" t="s">
        <v>34</v>
      </c>
      <c r="H8" s="8" t="s">
        <v>117</v>
      </c>
      <c r="I8" s="1" t="s">
        <v>352</v>
      </c>
      <c r="J8" s="8"/>
    </row>
    <row r="9" spans="1:11" x14ac:dyDescent="0.25">
      <c r="A9" s="1">
        <v>3</v>
      </c>
      <c r="C9" s="56" t="s">
        <v>113</v>
      </c>
      <c r="D9" s="1" t="s">
        <v>114</v>
      </c>
      <c r="E9" s="1" t="s">
        <v>115</v>
      </c>
      <c r="F9" s="1" t="s">
        <v>249</v>
      </c>
      <c r="G9" s="1" t="s">
        <v>34</v>
      </c>
      <c r="H9" s="8">
        <v>111333666666</v>
      </c>
      <c r="I9" s="1" t="s">
        <v>250</v>
      </c>
      <c r="J9" s="8"/>
    </row>
    <row r="10" spans="1:11" x14ac:dyDescent="0.25">
      <c r="A10" s="1">
        <v>4</v>
      </c>
      <c r="C10" s="56" t="s">
        <v>133</v>
      </c>
      <c r="D10" s="1" t="s">
        <v>134</v>
      </c>
      <c r="E10" s="1" t="s">
        <v>116</v>
      </c>
      <c r="F10" s="1" t="s">
        <v>381</v>
      </c>
      <c r="G10" s="1" t="s">
        <v>34</v>
      </c>
      <c r="H10" s="8">
        <v>996688886666</v>
      </c>
      <c r="I10" s="1" t="s">
        <v>118</v>
      </c>
      <c r="J10" s="8">
        <v>2103236688</v>
      </c>
      <c r="K10" s="1" t="s">
        <v>382</v>
      </c>
    </row>
    <row r="11" spans="1:11" x14ac:dyDescent="0.25">
      <c r="A11" s="1">
        <v>5</v>
      </c>
      <c r="C11" s="1">
        <v>4601654519</v>
      </c>
      <c r="D11" s="1" t="s">
        <v>129</v>
      </c>
      <c r="E11" s="1" t="s">
        <v>130</v>
      </c>
      <c r="F11" s="1" t="s">
        <v>374</v>
      </c>
      <c r="G11" s="1" t="s">
        <v>34</v>
      </c>
      <c r="H11" s="8">
        <v>116602850666</v>
      </c>
      <c r="I11" s="1" t="s">
        <v>131</v>
      </c>
    </row>
    <row r="12" spans="1:11" x14ac:dyDescent="0.25">
      <c r="A12" s="1">
        <v>6</v>
      </c>
      <c r="C12" s="1">
        <v>2500675251</v>
      </c>
      <c r="D12" s="1" t="s">
        <v>137</v>
      </c>
      <c r="E12" s="1" t="s">
        <v>138</v>
      </c>
      <c r="F12" s="1" t="s">
        <v>378</v>
      </c>
      <c r="G12" s="1" t="s">
        <v>34</v>
      </c>
      <c r="H12" s="8">
        <v>119602319999</v>
      </c>
      <c r="I12" s="1" t="s">
        <v>379</v>
      </c>
    </row>
    <row r="13" spans="1:11" x14ac:dyDescent="0.25">
      <c r="A13" s="1">
        <v>7</v>
      </c>
      <c r="C13" s="56" t="s">
        <v>157</v>
      </c>
      <c r="D13" s="1" t="s">
        <v>141</v>
      </c>
      <c r="E13" s="1" t="s">
        <v>142</v>
      </c>
      <c r="H13" s="8"/>
    </row>
    <row r="14" spans="1:11" x14ac:dyDescent="0.25">
      <c r="A14" s="1">
        <v>8</v>
      </c>
      <c r="C14" s="1">
        <v>2500708852</v>
      </c>
      <c r="D14" s="1" t="s">
        <v>143</v>
      </c>
      <c r="E14" s="1" t="s">
        <v>144</v>
      </c>
      <c r="H14" s="8"/>
    </row>
    <row r="15" spans="1:11" x14ac:dyDescent="0.25">
      <c r="A15" s="1">
        <v>9</v>
      </c>
      <c r="C15" s="56" t="s">
        <v>152</v>
      </c>
      <c r="D15" s="1" t="s">
        <v>153</v>
      </c>
      <c r="E15" s="1" t="s">
        <v>154</v>
      </c>
      <c r="F15" s="1" t="s">
        <v>156</v>
      </c>
      <c r="G15" s="1" t="s">
        <v>34</v>
      </c>
      <c r="H15" s="8">
        <v>89084075</v>
      </c>
      <c r="I15" s="1" t="s">
        <v>155</v>
      </c>
    </row>
    <row r="16" spans="1:11" x14ac:dyDescent="0.25">
      <c r="A16" s="1">
        <v>10</v>
      </c>
      <c r="C16" s="1">
        <v>2500598864</v>
      </c>
      <c r="D16" s="1" t="s">
        <v>159</v>
      </c>
      <c r="E16" s="1" t="s">
        <v>229</v>
      </c>
      <c r="F16" s="1" t="s">
        <v>348</v>
      </c>
      <c r="G16" s="1" t="s">
        <v>34</v>
      </c>
      <c r="H16" s="8">
        <v>112002651186</v>
      </c>
      <c r="I16" s="1" t="s">
        <v>347</v>
      </c>
    </row>
    <row r="17" spans="1:11" x14ac:dyDescent="0.25">
      <c r="A17" s="1">
        <v>11</v>
      </c>
      <c r="C17" s="1">
        <v>2500518379</v>
      </c>
      <c r="D17" s="1" t="s">
        <v>161</v>
      </c>
      <c r="E17" s="1" t="s">
        <v>162</v>
      </c>
      <c r="F17" s="1" t="s">
        <v>349</v>
      </c>
      <c r="G17" s="1" t="s">
        <v>34</v>
      </c>
      <c r="H17" s="8">
        <v>1017686777</v>
      </c>
      <c r="I17" s="1" t="s">
        <v>350</v>
      </c>
    </row>
    <row r="18" spans="1:11" x14ac:dyDescent="0.25">
      <c r="A18" s="1">
        <v>12</v>
      </c>
      <c r="C18" s="1">
        <v>2600706055</v>
      </c>
      <c r="D18" s="1" t="s">
        <v>163</v>
      </c>
      <c r="E18" s="1" t="s">
        <v>164</v>
      </c>
      <c r="F18" s="1" t="s">
        <v>165</v>
      </c>
      <c r="G18" s="1" t="s">
        <v>34</v>
      </c>
      <c r="H18" s="8">
        <v>118000066436</v>
      </c>
      <c r="I18" s="1" t="s">
        <v>372</v>
      </c>
    </row>
    <row r="19" spans="1:11" x14ac:dyDescent="0.25">
      <c r="A19" s="1">
        <v>13</v>
      </c>
      <c r="C19" s="1">
        <v>2500763469</v>
      </c>
      <c r="D19" s="1" t="s">
        <v>172</v>
      </c>
      <c r="E19" s="1" t="s">
        <v>173</v>
      </c>
      <c r="H19" s="8"/>
    </row>
    <row r="20" spans="1:11" x14ac:dyDescent="0.25">
      <c r="A20" s="1">
        <v>14</v>
      </c>
      <c r="C20" s="56" t="s">
        <v>209</v>
      </c>
      <c r="D20" s="1" t="s">
        <v>174</v>
      </c>
      <c r="E20" s="1" t="s">
        <v>175</v>
      </c>
      <c r="H20" s="8"/>
    </row>
    <row r="21" spans="1:11" x14ac:dyDescent="0.25">
      <c r="A21" s="1">
        <v>15</v>
      </c>
      <c r="C21" s="1">
        <v>2500603377</v>
      </c>
      <c r="D21" s="1" t="s">
        <v>211</v>
      </c>
      <c r="E21" s="1" t="s">
        <v>212</v>
      </c>
      <c r="F21" s="1" t="s">
        <v>384</v>
      </c>
      <c r="G21" s="1" t="s">
        <v>34</v>
      </c>
      <c r="H21" s="8">
        <v>3201010686836</v>
      </c>
      <c r="I21" s="1" t="s">
        <v>385</v>
      </c>
    </row>
    <row r="22" spans="1:11" x14ac:dyDescent="0.25">
      <c r="A22" s="1">
        <v>16</v>
      </c>
      <c r="C22" s="1">
        <v>2300226957</v>
      </c>
      <c r="D22" s="1" t="s">
        <v>225</v>
      </c>
      <c r="E22" s="1" t="s">
        <v>226</v>
      </c>
      <c r="H22" s="8"/>
    </row>
    <row r="23" spans="1:11" x14ac:dyDescent="0.25">
      <c r="A23" s="1">
        <v>17</v>
      </c>
      <c r="C23" s="56" t="s">
        <v>234</v>
      </c>
      <c r="D23" s="1" t="s">
        <v>235</v>
      </c>
      <c r="E23" s="1" t="s">
        <v>236</v>
      </c>
      <c r="H23" s="8"/>
    </row>
    <row r="24" spans="1:11" x14ac:dyDescent="0.25">
      <c r="A24" s="1">
        <v>18</v>
      </c>
      <c r="C24" s="56" t="s">
        <v>239</v>
      </c>
      <c r="D24" s="1" t="s">
        <v>240</v>
      </c>
      <c r="E24" s="1" t="s">
        <v>241</v>
      </c>
      <c r="F24" s="1" t="s">
        <v>242</v>
      </c>
      <c r="G24" s="1" t="s">
        <v>34</v>
      </c>
      <c r="H24" s="72">
        <v>5566338888</v>
      </c>
      <c r="I24" s="1" t="s">
        <v>243</v>
      </c>
    </row>
    <row r="25" spans="1:11" x14ac:dyDescent="0.25">
      <c r="A25" s="1">
        <v>19</v>
      </c>
      <c r="C25" s="1">
        <v>2500561310</v>
      </c>
      <c r="D25" s="1" t="s">
        <v>245</v>
      </c>
      <c r="E25" s="1" t="s">
        <v>246</v>
      </c>
      <c r="H25" s="8"/>
    </row>
    <row r="26" spans="1:11" x14ac:dyDescent="0.25">
      <c r="A26" s="1">
        <v>20</v>
      </c>
      <c r="C26" s="56" t="s">
        <v>283</v>
      </c>
      <c r="D26" s="1" t="s">
        <v>284</v>
      </c>
      <c r="E26" s="1" t="s">
        <v>285</v>
      </c>
      <c r="F26" s="1" t="s">
        <v>286</v>
      </c>
      <c r="G26" s="1" t="s">
        <v>34</v>
      </c>
      <c r="H26" s="8">
        <v>686868247247</v>
      </c>
      <c r="I26" s="1" t="s">
        <v>287</v>
      </c>
    </row>
    <row r="27" spans="1:11" x14ac:dyDescent="0.25">
      <c r="A27" s="1">
        <v>21</v>
      </c>
      <c r="C27" s="1">
        <v>2500649903</v>
      </c>
      <c r="D27" s="1" t="s">
        <v>289</v>
      </c>
      <c r="E27" s="1" t="s">
        <v>290</v>
      </c>
      <c r="H27" s="8"/>
    </row>
    <row r="28" spans="1:11" x14ac:dyDescent="0.25">
      <c r="A28" s="1">
        <v>22</v>
      </c>
      <c r="C28" s="1">
        <v>2500449799</v>
      </c>
      <c r="D28" s="1" t="s">
        <v>297</v>
      </c>
      <c r="E28" s="1" t="s">
        <v>298</v>
      </c>
      <c r="F28" s="1" t="s">
        <v>386</v>
      </c>
      <c r="G28" s="1" t="s">
        <v>34</v>
      </c>
      <c r="H28" s="8">
        <v>2800201007019</v>
      </c>
      <c r="I28" s="1" t="s">
        <v>388</v>
      </c>
    </row>
    <row r="29" spans="1:11" x14ac:dyDescent="0.25">
      <c r="A29" s="1">
        <v>23</v>
      </c>
      <c r="C29" s="1" t="s">
        <v>300</v>
      </c>
      <c r="D29" s="1" t="s">
        <v>301</v>
      </c>
      <c r="E29" s="1" t="s">
        <v>302</v>
      </c>
      <c r="H29" s="8"/>
    </row>
    <row r="30" spans="1:11" x14ac:dyDescent="0.25">
      <c r="A30" s="1">
        <v>24</v>
      </c>
      <c r="C30" s="1">
        <v>2500424145</v>
      </c>
      <c r="D30" s="1" t="s">
        <v>311</v>
      </c>
      <c r="E30" s="1" t="s">
        <v>377</v>
      </c>
      <c r="F30" s="1" t="s">
        <v>370</v>
      </c>
      <c r="G30" s="1" t="s">
        <v>34</v>
      </c>
      <c r="H30" s="8">
        <v>361000307212</v>
      </c>
      <c r="I30" s="1" t="s">
        <v>371</v>
      </c>
      <c r="J30" s="8">
        <v>4250338600</v>
      </c>
      <c r="K30" s="1" t="s">
        <v>373</v>
      </c>
    </row>
    <row r="31" spans="1:11" x14ac:dyDescent="0.25">
      <c r="A31" s="1">
        <v>25</v>
      </c>
      <c r="C31" s="1">
        <v>4601506704</v>
      </c>
      <c r="D31" s="1" t="s">
        <v>317</v>
      </c>
      <c r="E31" s="1" t="s">
        <v>318</v>
      </c>
      <c r="F31" s="1" t="s">
        <v>319</v>
      </c>
      <c r="G31" s="1" t="s">
        <v>34</v>
      </c>
      <c r="H31" s="112" t="s">
        <v>321</v>
      </c>
      <c r="I31" s="1" t="s">
        <v>320</v>
      </c>
    </row>
    <row r="32" spans="1:11" x14ac:dyDescent="0.25">
      <c r="A32" s="1">
        <v>26</v>
      </c>
      <c r="C32" s="1">
        <v>1101925902</v>
      </c>
      <c r="D32" s="1" t="s">
        <v>326</v>
      </c>
      <c r="E32" s="1" t="s">
        <v>327</v>
      </c>
      <c r="H32" s="8"/>
    </row>
    <row r="33" spans="1:9" x14ac:dyDescent="0.25">
      <c r="A33" s="1">
        <v>27</v>
      </c>
      <c r="C33" s="1">
        <v>2500779878</v>
      </c>
      <c r="D33" s="1" t="s">
        <v>338</v>
      </c>
      <c r="E33" s="1" t="s">
        <v>339</v>
      </c>
      <c r="F33" s="1" t="s">
        <v>340</v>
      </c>
      <c r="G33" s="1" t="s">
        <v>34</v>
      </c>
      <c r="H33" s="8" t="s">
        <v>341</v>
      </c>
      <c r="I33" s="1" t="s">
        <v>342</v>
      </c>
    </row>
    <row r="34" spans="1:9" x14ac:dyDescent="0.25">
      <c r="A34" s="1">
        <v>28</v>
      </c>
      <c r="C34" s="1">
        <v>4601294471</v>
      </c>
      <c r="D34" s="1" t="s">
        <v>345</v>
      </c>
      <c r="E34" s="1" t="s">
        <v>346</v>
      </c>
      <c r="H34" s="8"/>
    </row>
    <row r="35" spans="1:9" x14ac:dyDescent="0.25">
      <c r="A35" s="1">
        <v>29</v>
      </c>
      <c r="C35" s="1">
        <v>2500632681</v>
      </c>
      <c r="D35" s="1" t="s">
        <v>407</v>
      </c>
      <c r="E35" s="1" t="s">
        <v>408</v>
      </c>
      <c r="H35" s="8"/>
    </row>
    <row r="36" spans="1:9" x14ac:dyDescent="0.25">
      <c r="A36" s="1">
        <v>30</v>
      </c>
      <c r="C36" s="1">
        <v>2601079689</v>
      </c>
      <c r="D36" s="1" t="s">
        <v>423</v>
      </c>
      <c r="E36" s="1" t="s">
        <v>424</v>
      </c>
      <c r="H36" s="8"/>
    </row>
    <row r="37" spans="1:9" x14ac:dyDescent="0.25">
      <c r="A37" s="1">
        <v>31</v>
      </c>
      <c r="C37" s="1" t="s">
        <v>430</v>
      </c>
      <c r="D37" s="1" t="s">
        <v>431</v>
      </c>
      <c r="E37" s="1" t="s">
        <v>432</v>
      </c>
      <c r="H37" s="8"/>
    </row>
    <row r="38" spans="1:9" x14ac:dyDescent="0.25">
      <c r="A38" s="1">
        <v>32</v>
      </c>
      <c r="C38" s="56" t="s">
        <v>438</v>
      </c>
      <c r="D38" s="1" t="s">
        <v>436</v>
      </c>
      <c r="E38" s="1" t="s">
        <v>437</v>
      </c>
      <c r="H38" s="8"/>
    </row>
    <row r="39" spans="1:9" x14ac:dyDescent="0.25">
      <c r="A39" s="1">
        <v>33</v>
      </c>
    </row>
    <row r="40" spans="1:9" x14ac:dyDescent="0.25">
      <c r="A40" s="1">
        <v>34</v>
      </c>
    </row>
    <row r="41" spans="1:9" x14ac:dyDescent="0.25">
      <c r="A41" s="1">
        <v>35</v>
      </c>
    </row>
    <row r="42" spans="1:9" x14ac:dyDescent="0.25">
      <c r="A42" s="1">
        <v>36</v>
      </c>
    </row>
    <row r="43" spans="1:9" x14ac:dyDescent="0.25">
      <c r="A43" s="1">
        <v>37</v>
      </c>
    </row>
    <row r="44" spans="1:9" x14ac:dyDescent="0.25">
      <c r="A44" s="1">
        <v>38</v>
      </c>
    </row>
    <row r="45" spans="1:9" x14ac:dyDescent="0.25">
      <c r="A45" s="1">
        <v>39</v>
      </c>
    </row>
    <row r="46" spans="1:9" x14ac:dyDescent="0.25">
      <c r="A46" s="1">
        <v>40</v>
      </c>
    </row>
    <row r="47" spans="1:9" x14ac:dyDescent="0.25">
      <c r="A47" s="1">
        <v>41</v>
      </c>
    </row>
    <row r="48" spans="1:9" x14ac:dyDescent="0.25">
      <c r="A48" s="1">
        <v>42</v>
      </c>
    </row>
    <row r="49" spans="1:1" x14ac:dyDescent="0.25">
      <c r="A49" s="1">
        <v>43</v>
      </c>
    </row>
    <row r="50" spans="1:1" x14ac:dyDescent="0.25">
      <c r="A50" s="1">
        <v>44</v>
      </c>
    </row>
    <row r="51" spans="1:1" x14ac:dyDescent="0.25">
      <c r="A51" s="1">
        <v>45</v>
      </c>
    </row>
    <row r="52" spans="1:1" x14ac:dyDescent="0.25">
      <c r="A52" s="1">
        <v>46</v>
      </c>
    </row>
    <row r="53" spans="1:1" x14ac:dyDescent="0.25">
      <c r="A53" s="1">
        <v>47</v>
      </c>
    </row>
    <row r="54" spans="1:1" x14ac:dyDescent="0.25">
      <c r="A54" s="1">
        <v>48</v>
      </c>
    </row>
    <row r="55" spans="1:1" x14ac:dyDescent="0.25">
      <c r="A55" s="1">
        <v>49</v>
      </c>
    </row>
    <row r="56" spans="1:1" x14ac:dyDescent="0.25">
      <c r="A56" s="1">
        <v>50</v>
      </c>
    </row>
    <row r="57" spans="1:1" x14ac:dyDescent="0.25">
      <c r="A57" s="1">
        <v>51</v>
      </c>
    </row>
    <row r="58" spans="1:1" x14ac:dyDescent="0.25">
      <c r="A58" s="1">
        <v>52</v>
      </c>
    </row>
    <row r="59" spans="1:1" x14ac:dyDescent="0.25">
      <c r="A59" s="1">
        <v>53</v>
      </c>
    </row>
    <row r="60" spans="1:1" x14ac:dyDescent="0.25">
      <c r="A60" s="1">
        <v>54</v>
      </c>
    </row>
    <row r="61" spans="1:1" x14ac:dyDescent="0.25">
      <c r="A61" s="1">
        <v>55</v>
      </c>
    </row>
    <row r="62" spans="1:1" x14ac:dyDescent="0.25">
      <c r="A62" s="1">
        <v>56</v>
      </c>
    </row>
    <row r="63" spans="1:1" x14ac:dyDescent="0.25">
      <c r="A63" s="1">
        <v>57</v>
      </c>
    </row>
    <row r="64" spans="1:1" x14ac:dyDescent="0.25">
      <c r="A64" s="1">
        <v>58</v>
      </c>
    </row>
    <row r="65" spans="1:1" x14ac:dyDescent="0.25">
      <c r="A65" s="1">
        <v>59</v>
      </c>
    </row>
    <row r="66" spans="1:1" x14ac:dyDescent="0.25">
      <c r="A66" s="1">
        <v>60</v>
      </c>
    </row>
    <row r="67" spans="1:1" x14ac:dyDescent="0.25">
      <c r="A67" s="1">
        <v>61</v>
      </c>
    </row>
    <row r="68" spans="1:1" x14ac:dyDescent="0.25">
      <c r="A68" s="1">
        <v>62</v>
      </c>
    </row>
    <row r="69" spans="1:1" x14ac:dyDescent="0.25">
      <c r="A69" s="1">
        <v>64</v>
      </c>
    </row>
    <row r="70" spans="1:1" x14ac:dyDescent="0.25">
      <c r="A70" s="1">
        <v>65</v>
      </c>
    </row>
    <row r="71" spans="1:1" x14ac:dyDescent="0.25">
      <c r="A71" s="1">
        <v>66</v>
      </c>
    </row>
    <row r="72" spans="1:1" x14ac:dyDescent="0.25">
      <c r="A72" s="1">
        <v>67</v>
      </c>
    </row>
    <row r="73" spans="1:1" x14ac:dyDescent="0.25">
      <c r="A73" s="1">
        <v>68</v>
      </c>
    </row>
    <row r="74" spans="1:1" x14ac:dyDescent="0.25">
      <c r="A74" s="1">
        <v>69</v>
      </c>
    </row>
    <row r="75" spans="1:1" x14ac:dyDescent="0.25">
      <c r="A75" s="1">
        <v>70</v>
      </c>
    </row>
    <row r="76" spans="1:1" x14ac:dyDescent="0.25">
      <c r="A76" s="1">
        <v>71</v>
      </c>
    </row>
    <row r="77" spans="1:1" x14ac:dyDescent="0.25">
      <c r="A77" s="1">
        <v>72</v>
      </c>
    </row>
    <row r="78" spans="1:1" x14ac:dyDescent="0.25">
      <c r="A78" s="1">
        <v>73</v>
      </c>
    </row>
    <row r="79" spans="1:1" x14ac:dyDescent="0.25">
      <c r="A79" s="1">
        <v>74</v>
      </c>
    </row>
    <row r="80" spans="1:1" x14ac:dyDescent="0.25">
      <c r="A80" s="1">
        <v>75</v>
      </c>
    </row>
    <row r="81" spans="1:1" x14ac:dyDescent="0.25">
      <c r="A81" s="1">
        <v>76</v>
      </c>
    </row>
    <row r="82" spans="1:1" x14ac:dyDescent="0.25">
      <c r="A82" s="1">
        <v>77</v>
      </c>
    </row>
    <row r="83" spans="1:1" x14ac:dyDescent="0.25">
      <c r="A83" s="1">
        <v>78</v>
      </c>
    </row>
    <row r="84" spans="1:1" x14ac:dyDescent="0.25">
      <c r="A84" s="1">
        <v>79</v>
      </c>
    </row>
    <row r="85" spans="1:1" x14ac:dyDescent="0.25">
      <c r="A85" s="1">
        <v>80</v>
      </c>
    </row>
    <row r="86" spans="1:1" x14ac:dyDescent="0.25">
      <c r="A86" s="1">
        <v>81</v>
      </c>
    </row>
    <row r="87" spans="1:1" x14ac:dyDescent="0.25">
      <c r="A87" s="1">
        <v>82</v>
      </c>
    </row>
    <row r="88" spans="1:1" x14ac:dyDescent="0.25">
      <c r="A88" s="1">
        <v>83</v>
      </c>
    </row>
    <row r="89" spans="1:1" x14ac:dyDescent="0.25">
      <c r="A89" s="1">
        <v>84</v>
      </c>
    </row>
    <row r="90" spans="1:1" x14ac:dyDescent="0.25">
      <c r="A90" s="1">
        <v>85</v>
      </c>
    </row>
    <row r="91" spans="1:1" x14ac:dyDescent="0.25">
      <c r="A91" s="1">
        <v>86</v>
      </c>
    </row>
    <row r="92" spans="1:1" x14ac:dyDescent="0.25">
      <c r="A92" s="1">
        <v>87</v>
      </c>
    </row>
  </sheetData>
  <conditionalFormatting sqref="C6:I38">
    <cfRule type="expression" dxfId="20" priority="3">
      <formula>$C6&lt;&gt;""</formula>
    </cfRule>
  </conditionalFormatting>
  <conditionalFormatting sqref="C9:K9 G10">
    <cfRule type="expression" dxfId="19" priority="4">
      <formula>$C10&lt;&gt;""</formula>
    </cfRule>
  </conditionalFormatting>
  <conditionalFormatting sqref="G7:G8">
    <cfRule type="expression" dxfId="18" priority="1">
      <formula>$C8&lt;&gt;""</formula>
    </cfRule>
  </conditionalFormatting>
  <conditionalFormatting sqref="J6:K38">
    <cfRule type="expression" dxfId="17" priority="2">
      <formula>$C6&lt;&gt;""</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8BCB-25E8-4205-874F-44FB4668CD36}">
  <sheetPr>
    <tabColor rgb="FFFF0000"/>
  </sheetPr>
  <dimension ref="A1:T106"/>
  <sheetViews>
    <sheetView zoomScaleNormal="100" workbookViewId="0">
      <selection activeCell="A92" sqref="A90:XFD92"/>
    </sheetView>
  </sheetViews>
  <sheetFormatPr defaultRowHeight="14.4" x14ac:dyDescent="0.3"/>
  <cols>
    <col min="1" max="1" width="12.44140625" style="30" customWidth="1"/>
    <col min="2" max="2" width="4.88671875" style="30" customWidth="1"/>
    <col min="3" max="3" width="2.44140625" style="30" customWidth="1"/>
    <col min="4" max="4" width="4.88671875" style="30" customWidth="1"/>
    <col min="5" max="5" width="2.77734375" style="30" customWidth="1"/>
    <col min="6" max="6" width="3.109375" style="30" customWidth="1"/>
    <col min="7" max="7" width="3.77734375" style="30" customWidth="1"/>
    <col min="8" max="8" width="1.5546875" style="30" customWidth="1"/>
    <col min="9" max="9" width="2.6640625" style="30" customWidth="1"/>
    <col min="10" max="10" width="3.77734375" style="30" customWidth="1"/>
    <col min="11" max="11" width="2.109375" style="30" customWidth="1"/>
    <col min="12" max="12" width="0.77734375" style="30" customWidth="1"/>
    <col min="13" max="13" width="10" style="30" customWidth="1"/>
    <col min="14" max="14" width="11.21875" style="30" customWidth="1"/>
    <col min="15" max="15" width="21.44140625" style="30" customWidth="1"/>
    <col min="16" max="16" width="25.44140625" style="30" hidden="1" customWidth="1"/>
    <col min="17" max="17" width="3.6640625" style="30" customWidth="1"/>
    <col min="18" max="18" width="4.33203125" style="30" customWidth="1"/>
    <col min="19" max="19" width="13.5546875" style="30" customWidth="1"/>
    <col min="20" max="20" width="19" style="30" customWidth="1"/>
    <col min="21" max="16384" width="8.88671875" style="30"/>
  </cols>
  <sheetData>
    <row r="1" spans="1:20" ht="16.8" customHeight="1" x14ac:dyDescent="0.3">
      <c r="A1" s="154" t="s">
        <v>14</v>
      </c>
      <c r="B1" s="154"/>
      <c r="C1" s="154"/>
      <c r="D1" s="154"/>
      <c r="E1" s="154"/>
      <c r="F1" s="154"/>
      <c r="G1" s="154"/>
      <c r="H1" s="154"/>
      <c r="I1" s="154"/>
      <c r="J1" s="154"/>
      <c r="K1" s="154"/>
      <c r="L1" s="154"/>
      <c r="M1" s="154"/>
      <c r="N1" s="154"/>
      <c r="O1" s="154"/>
      <c r="P1" s="154"/>
      <c r="Q1" s="46"/>
      <c r="S1" s="31" t="s">
        <v>75</v>
      </c>
      <c r="T1" s="131">
        <v>22</v>
      </c>
    </row>
    <row r="2" spans="1:20" ht="16.8" customHeight="1" x14ac:dyDescent="0.3">
      <c r="A2" s="154" t="s">
        <v>15</v>
      </c>
      <c r="B2" s="154"/>
      <c r="C2" s="154"/>
      <c r="D2" s="154"/>
      <c r="E2" s="154"/>
      <c r="F2" s="154"/>
      <c r="G2" s="154"/>
      <c r="H2" s="154"/>
      <c r="I2" s="154"/>
      <c r="J2" s="154"/>
      <c r="K2" s="154"/>
      <c r="L2" s="154"/>
      <c r="M2" s="154"/>
      <c r="N2" s="154"/>
      <c r="O2" s="154"/>
      <c r="P2" s="154"/>
      <c r="Q2" s="46"/>
      <c r="S2" s="31" t="s">
        <v>76</v>
      </c>
      <c r="T2" s="129" t="s">
        <v>376</v>
      </c>
    </row>
    <row r="3" spans="1:20" ht="18" customHeight="1" x14ac:dyDescent="0.3">
      <c r="A3" s="154" t="s">
        <v>47</v>
      </c>
      <c r="B3" s="154"/>
      <c r="C3" s="154"/>
      <c r="D3" s="154"/>
      <c r="E3" s="154"/>
      <c r="F3" s="154"/>
      <c r="G3" s="154"/>
      <c r="H3" s="154"/>
      <c r="I3" s="154"/>
      <c r="J3" s="154"/>
      <c r="K3" s="154"/>
      <c r="L3" s="154"/>
      <c r="M3" s="154"/>
      <c r="N3" s="154"/>
      <c r="O3" s="154"/>
      <c r="P3" s="154"/>
      <c r="Q3" s="46"/>
      <c r="S3" s="31" t="s">
        <v>77</v>
      </c>
      <c r="T3" s="31"/>
    </row>
    <row r="4" spans="1:20" ht="4.8" customHeight="1" x14ac:dyDescent="0.3">
      <c r="A4" s="47"/>
      <c r="B4" s="47"/>
      <c r="C4" s="47"/>
      <c r="D4" s="47"/>
      <c r="E4" s="47"/>
      <c r="F4" s="47"/>
      <c r="G4" s="47"/>
      <c r="H4" s="47"/>
      <c r="I4" s="32"/>
      <c r="J4" s="46"/>
      <c r="K4" s="46"/>
      <c r="L4" s="46"/>
      <c r="M4" s="46"/>
      <c r="N4" s="46"/>
      <c r="O4" s="46"/>
      <c r="P4" s="46"/>
      <c r="Q4" s="46"/>
    </row>
    <row r="5" spans="1:20" ht="20.399999999999999" x14ac:dyDescent="0.3">
      <c r="A5" s="156" t="s">
        <v>71</v>
      </c>
      <c r="B5" s="156"/>
      <c r="C5" s="156"/>
      <c r="D5" s="156"/>
      <c r="E5" s="156"/>
      <c r="F5" s="156"/>
      <c r="G5" s="156"/>
      <c r="H5" s="156"/>
      <c r="I5" s="156"/>
      <c r="J5" s="156"/>
      <c r="K5" s="156"/>
      <c r="L5" s="156"/>
      <c r="M5" s="156"/>
      <c r="N5" s="156"/>
      <c r="O5" s="156"/>
      <c r="P5" s="156"/>
      <c r="Q5" s="46"/>
      <c r="S5" s="33" t="s">
        <v>35</v>
      </c>
      <c r="T5" s="83">
        <v>2500449799</v>
      </c>
    </row>
    <row r="6" spans="1:20" ht="15.6" x14ac:dyDescent="0.3">
      <c r="A6" s="155" t="str">
        <f>"Số :"&amp;" "&amp;T1&amp;T2&amp;"26/"&amp;"HĐNT/"&amp;T6&amp;"-ĐLX"</f>
        <v>Số : 220626/HĐNT/VIETLIFE-ĐLX</v>
      </c>
      <c r="B6" s="155"/>
      <c r="C6" s="155"/>
      <c r="D6" s="155"/>
      <c r="E6" s="155"/>
      <c r="F6" s="155"/>
      <c r="G6" s="155"/>
      <c r="H6" s="155"/>
      <c r="I6" s="155"/>
      <c r="J6" s="155"/>
      <c r="K6" s="155"/>
      <c r="L6" s="155"/>
      <c r="M6" s="155"/>
      <c r="N6" s="155"/>
      <c r="O6" s="155"/>
      <c r="P6" s="155"/>
      <c r="Q6" s="46"/>
      <c r="S6" s="35"/>
      <c r="T6" s="35" t="s">
        <v>387</v>
      </c>
    </row>
    <row r="7" spans="1:20" ht="4.2" customHeight="1" x14ac:dyDescent="0.3">
      <c r="A7" s="34"/>
      <c r="B7" s="34"/>
      <c r="C7" s="34"/>
      <c r="D7" s="34"/>
      <c r="E7" s="34"/>
      <c r="F7" s="34"/>
      <c r="G7" s="34"/>
      <c r="H7" s="34"/>
      <c r="I7" s="46"/>
      <c r="J7" s="46"/>
      <c r="K7" s="46"/>
      <c r="L7" s="46"/>
      <c r="M7" s="46"/>
      <c r="N7" s="46"/>
      <c r="O7" s="46"/>
      <c r="P7" s="46"/>
      <c r="Q7" s="46"/>
    </row>
    <row r="8" spans="1:20" s="87" customFormat="1" ht="16.8" x14ac:dyDescent="0.35">
      <c r="A8" s="85" t="s">
        <v>251</v>
      </c>
      <c r="B8" s="85"/>
      <c r="C8" s="85"/>
      <c r="D8" s="85"/>
      <c r="E8" s="85"/>
      <c r="F8" s="85"/>
      <c r="G8" s="85"/>
      <c r="H8" s="85"/>
      <c r="I8" s="86"/>
      <c r="J8" s="86"/>
      <c r="K8" s="86"/>
      <c r="L8" s="86"/>
      <c r="M8" s="86"/>
      <c r="N8" s="86"/>
      <c r="O8" s="86"/>
      <c r="P8" s="86"/>
      <c r="Q8" s="86"/>
      <c r="R8" s="86"/>
    </row>
    <row r="9" spans="1:20" s="87" customFormat="1" ht="16.8" x14ac:dyDescent="0.35">
      <c r="A9" s="85" t="s">
        <v>252</v>
      </c>
      <c r="B9" s="85"/>
      <c r="C9" s="85"/>
      <c r="D9" s="85"/>
      <c r="E9" s="85"/>
      <c r="F9" s="85"/>
      <c r="G9" s="85"/>
      <c r="H9" s="85"/>
      <c r="I9" s="86"/>
      <c r="J9" s="86"/>
      <c r="K9" s="86"/>
      <c r="L9" s="86"/>
      <c r="M9" s="86"/>
      <c r="N9" s="86"/>
      <c r="O9" s="86"/>
      <c r="P9" s="86"/>
      <c r="Q9" s="86"/>
      <c r="R9" s="86"/>
    </row>
    <row r="10" spans="1:20" s="87" customFormat="1" ht="16.8" x14ac:dyDescent="0.35">
      <c r="A10" s="88" t="s">
        <v>253</v>
      </c>
      <c r="B10" s="88"/>
      <c r="C10" s="88"/>
      <c r="D10" s="88"/>
      <c r="E10" s="88"/>
      <c r="F10" s="88"/>
      <c r="G10" s="88"/>
      <c r="H10" s="88"/>
      <c r="I10" s="86"/>
      <c r="J10" s="86"/>
      <c r="K10" s="86"/>
      <c r="L10" s="86"/>
      <c r="M10" s="86"/>
      <c r="N10" s="86"/>
      <c r="O10" s="86"/>
      <c r="P10" s="86"/>
      <c r="Q10" s="86"/>
      <c r="R10" s="86"/>
    </row>
    <row r="11" spans="1:20" s="87" customFormat="1" ht="16.8" x14ac:dyDescent="0.35">
      <c r="A11" s="89" t="s">
        <v>204</v>
      </c>
      <c r="B11" s="89"/>
      <c r="C11" s="89"/>
      <c r="D11" s="89"/>
      <c r="E11" s="89"/>
      <c r="F11" s="89"/>
      <c r="G11" s="89"/>
      <c r="H11" s="89"/>
      <c r="I11" s="90"/>
      <c r="J11" s="90"/>
      <c r="K11" s="90"/>
      <c r="L11" s="90"/>
      <c r="M11" s="90"/>
      <c r="N11" s="90"/>
      <c r="O11" s="90"/>
      <c r="P11" s="90"/>
      <c r="Q11" s="90"/>
      <c r="R11" s="90"/>
    </row>
    <row r="12" spans="1:20" s="87" customFormat="1" ht="16.8" x14ac:dyDescent="0.35">
      <c r="A12" s="85" t="s">
        <v>254</v>
      </c>
      <c r="B12" s="86"/>
      <c r="C12" s="86"/>
      <c r="D12" s="86"/>
      <c r="E12" s="86"/>
      <c r="F12" s="86"/>
      <c r="G12" s="86"/>
      <c r="H12" s="86"/>
      <c r="I12" s="86"/>
      <c r="J12" s="86"/>
      <c r="K12" s="86"/>
      <c r="L12" s="86"/>
      <c r="M12" s="86"/>
      <c r="N12" s="86"/>
      <c r="O12" s="86"/>
      <c r="P12" s="86"/>
      <c r="Q12" s="86"/>
      <c r="R12" s="86"/>
    </row>
    <row r="13" spans="1:20" s="87" customFormat="1" ht="16.8" x14ac:dyDescent="0.35">
      <c r="A13" s="91" t="s">
        <v>78</v>
      </c>
      <c r="B13" s="90" t="str">
        <f>"ngày"&amp;" "&amp;T1&amp;" "&amp;"tháng"&amp;" "&amp;T2&amp;" "&amp;S3</f>
        <v>ngày 22 tháng 06 năm 2026</v>
      </c>
      <c r="C13" s="86"/>
      <c r="D13" s="86"/>
      <c r="E13" s="86"/>
      <c r="F13" s="86"/>
      <c r="G13" s="86"/>
      <c r="H13" s="86"/>
      <c r="I13" s="86"/>
      <c r="J13" s="86" t="s">
        <v>81</v>
      </c>
      <c r="K13" s="86"/>
      <c r="L13" s="86"/>
      <c r="M13" s="86"/>
      <c r="N13" s="86"/>
      <c r="O13" s="86"/>
      <c r="P13" s="86"/>
      <c r="Q13" s="86"/>
      <c r="R13" s="86"/>
    </row>
    <row r="14" spans="1:20" s="87" customFormat="1" ht="16.8" x14ac:dyDescent="0.35">
      <c r="A14" s="90" t="s">
        <v>64</v>
      </c>
      <c r="B14" s="90"/>
      <c r="C14" s="90"/>
      <c r="D14" s="90"/>
      <c r="E14" s="90"/>
      <c r="F14" s="90"/>
      <c r="G14" s="90"/>
      <c r="H14" s="90"/>
      <c r="I14" s="90"/>
      <c r="J14" s="90"/>
      <c r="K14" s="90"/>
      <c r="L14" s="90"/>
      <c r="M14" s="90"/>
      <c r="N14" s="90"/>
      <c r="O14" s="90"/>
      <c r="P14" s="90"/>
      <c r="Q14" s="90"/>
      <c r="R14" s="90"/>
    </row>
    <row r="15" spans="1:20" ht="31.8" customHeight="1" x14ac:dyDescent="0.3">
      <c r="A15" s="145" t="s">
        <v>72</v>
      </c>
      <c r="B15" s="145"/>
      <c r="C15" s="145"/>
      <c r="D15" s="145"/>
      <c r="E15" s="145"/>
      <c r="F15" s="148" t="str">
        <f>_xlfn.IFNA(VLOOKUP($T$5,Table2[#All],2,0),"")</f>
        <v>CÔNG TY TNHH CÔNG NGHỆ VÀ DỊCH VỤ VIETLIFE</v>
      </c>
      <c r="G15" s="148"/>
      <c r="H15" s="148"/>
      <c r="I15" s="148"/>
      <c r="J15" s="148"/>
      <c r="K15" s="148"/>
      <c r="L15" s="148"/>
      <c r="M15" s="148"/>
      <c r="N15" s="148"/>
      <c r="O15" s="148"/>
      <c r="P15" s="148"/>
      <c r="Q15" s="148"/>
      <c r="R15" s="28"/>
    </row>
    <row r="16" spans="1:20" s="87" customFormat="1" ht="16.8" customHeight="1" x14ac:dyDescent="0.35">
      <c r="A16" s="92" t="s">
        <v>65</v>
      </c>
      <c r="B16" s="93" t="s">
        <v>383</v>
      </c>
      <c r="C16" s="148" t="str">
        <f>_xlfn.IFNA(VLOOKUP($T$5,Table2[#All],4,0),"")</f>
        <v>NGUYỄN THỊ THU TRANG</v>
      </c>
      <c r="D16" s="148"/>
      <c r="E16" s="148"/>
      <c r="F16" s="148"/>
      <c r="G16" s="148"/>
      <c r="H16" s="148"/>
      <c r="I16" s="148"/>
      <c r="J16" s="148"/>
      <c r="K16" s="148"/>
      <c r="L16" s="148"/>
      <c r="M16" s="94" t="s">
        <v>37</v>
      </c>
      <c r="N16" s="84" t="str">
        <f>_xlfn.IFNA(VLOOKUP($T$5,Table2[#All],5,0),"")</f>
        <v>Giám đốc</v>
      </c>
      <c r="P16" s="41"/>
      <c r="Q16" s="41"/>
    </row>
    <row r="17" spans="1:17" s="87" customFormat="1" ht="16.8" customHeight="1" x14ac:dyDescent="0.35">
      <c r="A17" s="92" t="s">
        <v>9</v>
      </c>
      <c r="B17" s="139" t="str">
        <f>_xlfn.IFNA(VLOOKUP($T$5,Table2[#All],3,0),"")</f>
        <v>Số nhà 04, Ngõ 04, Phố Chiền, Phường Vĩnh Phúc, Tỉnh Phú Thọ, Việt Nam</v>
      </c>
      <c r="C17" s="139"/>
      <c r="D17" s="139"/>
      <c r="E17" s="139"/>
      <c r="F17" s="139"/>
      <c r="G17" s="139"/>
      <c r="H17" s="139"/>
      <c r="I17" s="139"/>
      <c r="J17" s="139"/>
      <c r="K17" s="139"/>
      <c r="L17" s="139"/>
      <c r="M17" s="139"/>
      <c r="N17" s="139"/>
      <c r="O17" s="139"/>
      <c r="P17" s="41"/>
      <c r="Q17" s="41"/>
    </row>
    <row r="18" spans="1:17" s="87" customFormat="1" ht="16.8" customHeight="1" x14ac:dyDescent="0.35">
      <c r="A18" s="92" t="s">
        <v>48</v>
      </c>
      <c r="B18" s="149"/>
      <c r="C18" s="149"/>
      <c r="D18" s="149"/>
      <c r="E18" s="149"/>
      <c r="F18" s="149"/>
      <c r="G18" s="92"/>
      <c r="H18" s="92"/>
      <c r="I18" s="144"/>
      <c r="J18" s="144"/>
      <c r="K18" s="94"/>
      <c r="L18" s="94"/>
      <c r="M18" s="94"/>
      <c r="N18" s="41"/>
      <c r="O18" s="41"/>
      <c r="P18" s="41"/>
      <c r="Q18" s="41"/>
    </row>
    <row r="19" spans="1:17" s="87" customFormat="1" ht="16.8" customHeight="1" x14ac:dyDescent="0.35">
      <c r="A19" s="92" t="s">
        <v>49</v>
      </c>
      <c r="B19" s="139">
        <f>_xlfn.IFNA(VLOOKUP($T$5,Table2[#All],1,0),"")</f>
        <v>2500449799</v>
      </c>
      <c r="C19" s="139"/>
      <c r="D19" s="139"/>
      <c r="E19" s="139"/>
      <c r="F19" s="139"/>
      <c r="G19" s="139"/>
      <c r="H19" s="139"/>
      <c r="I19" s="139"/>
      <c r="J19" s="139"/>
      <c r="K19" s="139"/>
      <c r="L19" s="139"/>
      <c r="M19" s="41"/>
      <c r="N19" s="41"/>
      <c r="O19" s="41"/>
      <c r="P19" s="41"/>
      <c r="Q19" s="41"/>
    </row>
    <row r="20" spans="1:17" s="87" customFormat="1" ht="16.8" customHeight="1" x14ac:dyDescent="0.35">
      <c r="A20" s="92" t="s">
        <v>50</v>
      </c>
      <c r="B20" s="143">
        <f>_xlfn.IFNA(VLOOKUP($T$5,Table2[#All],6,0),"")</f>
        <v>2800201007019</v>
      </c>
      <c r="C20" s="143"/>
      <c r="D20" s="143"/>
      <c r="E20" s="143"/>
      <c r="F20" s="143"/>
      <c r="G20" s="143"/>
      <c r="H20" s="95"/>
      <c r="J20" s="95"/>
      <c r="K20" s="95"/>
      <c r="L20" s="95"/>
      <c r="M20" s="41" t="str">
        <f>_xlfn.IFNA(VLOOKUP($T$5,Table2[#All],7,0),"")</f>
        <v>Tại ngân hàng NN và PTNT Việt Nam</v>
      </c>
      <c r="O20" s="41"/>
      <c r="P20" s="41"/>
      <c r="Q20" s="41"/>
    </row>
    <row r="21" spans="1:17" s="87" customFormat="1" ht="16.8" hidden="1" customHeight="1" x14ac:dyDescent="0.35">
      <c r="A21" s="92"/>
      <c r="B21" s="143">
        <f>_xlfn.IFNA(VLOOKUP($T$5,Table2[#All],8,0),"")</f>
        <v>0</v>
      </c>
      <c r="C21" s="143"/>
      <c r="D21" s="143"/>
      <c r="E21" s="143"/>
      <c r="F21" s="143"/>
      <c r="H21" s="95"/>
      <c r="J21" s="95"/>
      <c r="K21" s="95"/>
      <c r="L21" s="95"/>
      <c r="M21" s="41">
        <f>_xlfn.IFNA(VLOOKUP($T$5,Table2[#All],9,0),"")</f>
        <v>0</v>
      </c>
      <c r="O21" s="41"/>
      <c r="P21" s="41"/>
      <c r="Q21" s="41"/>
    </row>
    <row r="22" spans="1:17" ht="9.15" customHeight="1" x14ac:dyDescent="0.3">
      <c r="A22" s="39"/>
      <c r="B22" s="39"/>
      <c r="C22" s="39"/>
      <c r="D22" s="39"/>
      <c r="E22" s="39"/>
      <c r="F22" s="39"/>
      <c r="G22" s="39"/>
      <c r="H22" s="39"/>
      <c r="I22" s="40"/>
      <c r="J22" s="40"/>
      <c r="K22" s="40"/>
      <c r="L22" s="40"/>
      <c r="M22" s="40"/>
      <c r="N22" s="46"/>
      <c r="O22" s="46"/>
      <c r="P22" s="46"/>
      <c r="Q22" s="46"/>
    </row>
    <row r="23" spans="1:17" ht="16.8" customHeight="1" x14ac:dyDescent="0.3">
      <c r="A23" s="145" t="s">
        <v>85</v>
      </c>
      <c r="B23" s="145"/>
      <c r="C23" s="145"/>
      <c r="D23" s="145"/>
      <c r="E23" s="146" t="s">
        <v>0</v>
      </c>
      <c r="F23" s="146"/>
      <c r="G23" s="146"/>
      <c r="H23" s="146"/>
      <c r="I23" s="146"/>
      <c r="J23" s="146"/>
      <c r="K23" s="146"/>
      <c r="L23" s="146"/>
      <c r="M23" s="146"/>
      <c r="N23" s="146"/>
      <c r="O23" s="146"/>
      <c r="P23" s="31"/>
      <c r="Q23" s="31"/>
    </row>
    <row r="24" spans="1:17" s="87" customFormat="1" ht="16.8" customHeight="1" x14ac:dyDescent="0.35">
      <c r="A24" s="92" t="s">
        <v>17</v>
      </c>
      <c r="B24" s="93" t="s">
        <v>73</v>
      </c>
      <c r="C24" s="148" t="s">
        <v>74</v>
      </c>
      <c r="D24" s="148"/>
      <c r="E24" s="148"/>
      <c r="F24" s="148"/>
      <c r="G24" s="148"/>
      <c r="H24" s="148"/>
      <c r="I24" s="148"/>
      <c r="J24" s="148"/>
      <c r="K24" s="148"/>
      <c r="L24" s="148"/>
      <c r="M24" s="94" t="s">
        <v>66</v>
      </c>
      <c r="N24" s="96" t="s">
        <v>34</v>
      </c>
      <c r="P24" s="41"/>
      <c r="Q24" s="41"/>
    </row>
    <row r="25" spans="1:17" s="87" customFormat="1" ht="16.8" customHeight="1" x14ac:dyDescent="0.35">
      <c r="A25" s="92" t="s">
        <v>9</v>
      </c>
      <c r="B25" s="139" t="s">
        <v>24</v>
      </c>
      <c r="C25" s="139"/>
      <c r="D25" s="139"/>
      <c r="E25" s="139"/>
      <c r="F25" s="139"/>
      <c r="G25" s="139"/>
      <c r="H25" s="139"/>
      <c r="I25" s="139"/>
      <c r="J25" s="139"/>
      <c r="K25" s="139"/>
      <c r="L25" s="139"/>
      <c r="M25" s="139"/>
      <c r="N25" s="139"/>
      <c r="O25" s="139"/>
      <c r="P25" s="139"/>
      <c r="Q25" s="41"/>
    </row>
    <row r="26" spans="1:17" s="87" customFormat="1" ht="16.8" customHeight="1" x14ac:dyDescent="0.35">
      <c r="A26" s="92" t="s">
        <v>48</v>
      </c>
      <c r="B26" s="147">
        <v>912559868</v>
      </c>
      <c r="C26" s="147"/>
      <c r="D26" s="147"/>
      <c r="E26" s="147"/>
      <c r="F26" s="147"/>
      <c r="G26" s="147"/>
      <c r="H26" s="147"/>
      <c r="I26" s="147"/>
      <c r="J26" s="147"/>
      <c r="K26" s="97"/>
      <c r="L26" s="94"/>
      <c r="M26" s="94"/>
      <c r="N26" s="41"/>
      <c r="O26" s="41"/>
      <c r="P26" s="41"/>
      <c r="Q26" s="41"/>
    </row>
    <row r="27" spans="1:17" s="87" customFormat="1" ht="18" customHeight="1" x14ac:dyDescent="0.35">
      <c r="A27" s="92" t="s">
        <v>49</v>
      </c>
      <c r="B27" s="139">
        <v>2500774911</v>
      </c>
      <c r="C27" s="139"/>
      <c r="D27" s="139"/>
      <c r="E27" s="139"/>
      <c r="F27" s="139"/>
      <c r="G27" s="139"/>
      <c r="H27" s="139"/>
      <c r="I27" s="139"/>
      <c r="J27" s="139"/>
      <c r="K27" s="139"/>
      <c r="L27" s="139"/>
      <c r="M27" s="41"/>
      <c r="N27" s="41"/>
      <c r="O27" s="41"/>
      <c r="P27" s="41"/>
      <c r="Q27" s="41"/>
    </row>
    <row r="28" spans="1:17" s="87" customFormat="1" ht="16.8" customHeight="1" x14ac:dyDescent="0.35">
      <c r="A28" s="92" t="s">
        <v>50</v>
      </c>
      <c r="B28" s="143">
        <v>110003058298</v>
      </c>
      <c r="C28" s="143"/>
      <c r="D28" s="143"/>
      <c r="E28" s="143"/>
      <c r="F28" s="143"/>
      <c r="G28" s="98"/>
      <c r="H28" s="98"/>
      <c r="I28" s="98"/>
      <c r="J28" s="98"/>
      <c r="K28" s="98"/>
      <c r="L28" s="98"/>
      <c r="M28" s="139" t="s">
        <v>79</v>
      </c>
      <c r="N28" s="139"/>
      <c r="O28" s="139"/>
      <c r="P28" s="139"/>
      <c r="Q28" s="139"/>
    </row>
    <row r="29" spans="1:17" s="87" customFormat="1" ht="16.8" customHeight="1" x14ac:dyDescent="0.35">
      <c r="A29" s="92" t="s">
        <v>86</v>
      </c>
      <c r="B29" s="158" t="s">
        <v>87</v>
      </c>
      <c r="C29" s="158"/>
      <c r="D29" s="158"/>
      <c r="E29" s="158"/>
      <c r="F29" s="158"/>
      <c r="G29" s="158"/>
      <c r="H29" s="158"/>
      <c r="I29" s="158"/>
      <c r="J29" s="158"/>
      <c r="K29" s="158"/>
      <c r="L29" s="158"/>
      <c r="M29" s="158"/>
      <c r="N29" s="48"/>
      <c r="O29" s="48"/>
      <c r="P29" s="48"/>
      <c r="Q29" s="48"/>
    </row>
    <row r="30" spans="1:17" ht="15" customHeight="1" x14ac:dyDescent="0.3">
      <c r="A30" s="42"/>
      <c r="B30" s="42"/>
      <c r="C30" s="42"/>
      <c r="D30" s="42"/>
      <c r="E30" s="42"/>
      <c r="F30" s="42"/>
      <c r="G30" s="42"/>
      <c r="H30" s="42"/>
      <c r="I30" s="42"/>
      <c r="J30" s="42"/>
      <c r="K30" s="42"/>
      <c r="L30" s="42"/>
      <c r="M30" s="42"/>
      <c r="N30" s="46"/>
      <c r="O30" s="46"/>
      <c r="P30" s="46"/>
      <c r="Q30" s="46"/>
    </row>
    <row r="31" spans="1:17" s="87" customFormat="1" ht="16.8" x14ac:dyDescent="0.35">
      <c r="A31" s="159" t="s">
        <v>203</v>
      </c>
      <c r="B31" s="159"/>
      <c r="C31" s="159"/>
      <c r="D31" s="159"/>
      <c r="E31" s="159"/>
      <c r="F31" s="159"/>
      <c r="G31" s="159"/>
      <c r="H31" s="159"/>
      <c r="I31" s="159"/>
      <c r="J31" s="159"/>
      <c r="K31" s="159"/>
      <c r="L31" s="159"/>
      <c r="M31" s="159"/>
      <c r="N31" s="159"/>
      <c r="O31" s="159"/>
      <c r="P31" s="159"/>
      <c r="Q31" s="159"/>
    </row>
    <row r="32" spans="1:17" s="87" customFormat="1" ht="16.8" x14ac:dyDescent="0.35">
      <c r="A32" s="99" t="s">
        <v>202</v>
      </c>
      <c r="B32" s="99"/>
      <c r="C32" s="99"/>
      <c r="D32" s="99"/>
      <c r="E32" s="99"/>
      <c r="F32" s="99"/>
      <c r="G32" s="99"/>
      <c r="H32" s="99"/>
      <c r="I32" s="99"/>
      <c r="J32" s="99"/>
      <c r="K32" s="99"/>
      <c r="L32" s="99"/>
      <c r="M32" s="99"/>
      <c r="N32" s="99"/>
      <c r="O32" s="99"/>
      <c r="P32" s="99"/>
      <c r="Q32" s="99"/>
    </row>
    <row r="33" spans="1:17" ht="17.399999999999999" x14ac:dyDescent="0.3">
      <c r="A33" s="160" t="s">
        <v>82</v>
      </c>
      <c r="B33" s="160"/>
      <c r="C33" s="160"/>
      <c r="D33" s="160"/>
      <c r="E33" s="160"/>
      <c r="F33" s="160"/>
      <c r="G33" s="160"/>
      <c r="H33" s="160"/>
      <c r="I33" s="160"/>
      <c r="J33" s="160"/>
      <c r="K33" s="160"/>
      <c r="L33" s="160"/>
      <c r="M33" s="160"/>
      <c r="N33" s="160"/>
      <c r="O33" s="160"/>
      <c r="P33" s="160"/>
      <c r="Q33" s="160"/>
    </row>
    <row r="34" spans="1:17" ht="16.8" x14ac:dyDescent="0.3">
      <c r="A34" s="142" t="s">
        <v>51</v>
      </c>
      <c r="B34" s="142"/>
      <c r="C34" s="142"/>
      <c r="D34" s="142"/>
      <c r="E34" s="142"/>
      <c r="F34" s="142"/>
      <c r="G34" s="142"/>
      <c r="H34" s="142"/>
      <c r="I34" s="142"/>
      <c r="J34" s="142"/>
      <c r="K34" s="142"/>
      <c r="L34" s="142"/>
      <c r="M34" s="142"/>
      <c r="N34" s="142"/>
      <c r="O34" s="142"/>
      <c r="P34" s="142"/>
      <c r="Q34" s="142"/>
    </row>
    <row r="35" spans="1:17" s="87" customFormat="1" ht="16.8" x14ac:dyDescent="0.35">
      <c r="A35" s="141" t="s">
        <v>353</v>
      </c>
      <c r="B35" s="141"/>
      <c r="C35" s="141"/>
      <c r="D35" s="141"/>
      <c r="E35" s="141"/>
      <c r="F35" s="141"/>
      <c r="G35" s="141"/>
      <c r="H35" s="141"/>
      <c r="I35" s="141"/>
      <c r="J35" s="141"/>
      <c r="K35" s="141"/>
      <c r="L35" s="141"/>
      <c r="M35" s="141"/>
      <c r="N35" s="141"/>
      <c r="O35" s="141"/>
      <c r="P35" s="141"/>
      <c r="Q35" s="141"/>
    </row>
    <row r="36" spans="1:17" s="87" customFormat="1" ht="16.8" x14ac:dyDescent="0.35">
      <c r="A36" s="90" t="s">
        <v>362</v>
      </c>
      <c r="B36" s="90"/>
      <c r="C36" s="90"/>
      <c r="D36" s="90"/>
      <c r="E36" s="90"/>
      <c r="F36" s="90"/>
      <c r="G36" s="90"/>
      <c r="H36" s="90"/>
      <c r="I36" s="90"/>
      <c r="J36" s="90"/>
      <c r="K36" s="90"/>
      <c r="L36" s="90"/>
      <c r="M36" s="90"/>
      <c r="N36" s="90"/>
      <c r="O36" s="90"/>
      <c r="P36" s="90"/>
      <c r="Q36" s="90"/>
    </row>
    <row r="37" spans="1:17" s="87" customFormat="1" ht="16.8" x14ac:dyDescent="0.35">
      <c r="A37" s="102" t="s">
        <v>356</v>
      </c>
      <c r="B37" s="90"/>
      <c r="C37" s="90" t="s">
        <v>354</v>
      </c>
      <c r="D37" s="90"/>
      <c r="E37" s="90"/>
      <c r="F37" s="90"/>
      <c r="G37" s="90"/>
      <c r="H37" s="90"/>
      <c r="I37" s="90"/>
      <c r="J37" s="90"/>
      <c r="K37" s="90"/>
      <c r="L37" s="90"/>
      <c r="M37" s="90"/>
      <c r="N37" s="90"/>
      <c r="O37" s="90"/>
      <c r="P37" s="90"/>
      <c r="Q37" s="90"/>
    </row>
    <row r="38" spans="1:17" s="87" customFormat="1" ht="16.8" x14ac:dyDescent="0.35">
      <c r="A38" s="102" t="s">
        <v>357</v>
      </c>
      <c r="B38" s="90"/>
      <c r="C38" s="90" t="s">
        <v>355</v>
      </c>
      <c r="D38" s="90"/>
      <c r="E38" s="90"/>
      <c r="F38" s="90"/>
      <c r="G38" s="90"/>
      <c r="H38" s="90"/>
      <c r="I38" s="90"/>
      <c r="J38" s="90"/>
      <c r="K38" s="90"/>
      <c r="L38" s="90"/>
      <c r="M38" s="90"/>
      <c r="N38" s="90"/>
      <c r="O38" s="90"/>
      <c r="P38" s="90"/>
      <c r="Q38" s="90"/>
    </row>
    <row r="39" spans="1:17" ht="16.8" customHeight="1" x14ac:dyDescent="0.3">
      <c r="A39" s="102" t="s">
        <v>358</v>
      </c>
      <c r="B39" s="37"/>
      <c r="C39" s="37" t="s">
        <v>359</v>
      </c>
      <c r="D39" s="37"/>
      <c r="E39" s="37"/>
      <c r="F39" s="37"/>
      <c r="G39" s="37"/>
      <c r="H39" s="37"/>
      <c r="I39" s="37"/>
      <c r="J39" s="37"/>
      <c r="K39" s="37"/>
      <c r="L39" s="37"/>
      <c r="M39" s="37"/>
      <c r="N39" s="37"/>
      <c r="O39" s="37"/>
      <c r="P39" s="37"/>
      <c r="Q39" s="37"/>
    </row>
    <row r="40" spans="1:17" ht="16.8" customHeight="1" x14ac:dyDescent="0.3">
      <c r="A40" s="102" t="s">
        <v>360</v>
      </c>
      <c r="B40" s="37"/>
      <c r="C40" s="37"/>
      <c r="D40" s="37" t="s">
        <v>361</v>
      </c>
      <c r="E40" s="37"/>
      <c r="F40" s="37"/>
      <c r="G40" s="37"/>
      <c r="H40" s="37"/>
      <c r="I40" s="37"/>
      <c r="J40" s="37"/>
      <c r="K40" s="37"/>
      <c r="L40" s="37"/>
      <c r="M40" s="37"/>
      <c r="N40" s="37"/>
      <c r="O40" s="37"/>
      <c r="P40" s="37"/>
      <c r="Q40" s="37"/>
    </row>
    <row r="41" spans="1:17" ht="16.8" customHeight="1" x14ac:dyDescent="0.3">
      <c r="A41" s="102"/>
      <c r="B41" s="37"/>
      <c r="C41" s="37"/>
      <c r="D41" s="37"/>
      <c r="E41" s="37"/>
      <c r="F41" s="37"/>
      <c r="G41" s="37"/>
      <c r="H41" s="37"/>
      <c r="I41" s="37"/>
      <c r="J41" s="37"/>
      <c r="K41" s="37"/>
      <c r="L41" s="37"/>
      <c r="M41" s="37"/>
      <c r="N41" s="37"/>
      <c r="O41" s="37"/>
      <c r="P41" s="37"/>
      <c r="Q41" s="37"/>
    </row>
    <row r="42" spans="1:17" ht="16.8" x14ac:dyDescent="0.3">
      <c r="A42" s="142" t="s">
        <v>52</v>
      </c>
      <c r="B42" s="142"/>
      <c r="C42" s="142"/>
      <c r="D42" s="142"/>
      <c r="E42" s="142"/>
      <c r="F42" s="142"/>
      <c r="G42" s="142"/>
      <c r="H42" s="142"/>
      <c r="I42" s="142"/>
      <c r="J42" s="142"/>
      <c r="K42" s="142"/>
      <c r="L42" s="142"/>
      <c r="M42" s="142"/>
      <c r="N42" s="142"/>
      <c r="O42" s="142"/>
      <c r="P42" s="142"/>
      <c r="Q42" s="142"/>
    </row>
    <row r="43" spans="1:17" s="87" customFormat="1" ht="16.8" x14ac:dyDescent="0.35">
      <c r="A43" s="141" t="s">
        <v>68</v>
      </c>
      <c r="B43" s="141"/>
      <c r="C43" s="141"/>
      <c r="D43" s="141"/>
      <c r="E43" s="141"/>
      <c r="F43" s="141"/>
      <c r="G43" s="141"/>
      <c r="H43" s="141"/>
      <c r="I43" s="141"/>
      <c r="J43" s="141"/>
      <c r="K43" s="141"/>
      <c r="L43" s="141"/>
      <c r="M43" s="141"/>
      <c r="N43" s="141"/>
      <c r="O43" s="141"/>
      <c r="P43" s="141"/>
      <c r="Q43" s="141"/>
    </row>
    <row r="44" spans="1:17" s="87" customFormat="1" ht="16.8" x14ac:dyDescent="0.35">
      <c r="A44" s="141" t="s">
        <v>67</v>
      </c>
      <c r="B44" s="141"/>
      <c r="C44" s="141"/>
      <c r="D44" s="141"/>
      <c r="E44" s="141"/>
      <c r="F44" s="141"/>
      <c r="G44" s="141"/>
      <c r="H44" s="141"/>
      <c r="I44" s="141"/>
      <c r="J44" s="141"/>
      <c r="K44" s="141"/>
      <c r="L44" s="141"/>
      <c r="M44" s="141"/>
      <c r="N44" s="141"/>
      <c r="O44" s="141"/>
      <c r="P44" s="141"/>
      <c r="Q44" s="141"/>
    </row>
    <row r="45" spans="1:17" s="87" customFormat="1" ht="16.8" x14ac:dyDescent="0.35">
      <c r="A45" s="141" t="s">
        <v>69</v>
      </c>
      <c r="B45" s="141"/>
      <c r="C45" s="141"/>
      <c r="D45" s="141"/>
      <c r="E45" s="141"/>
      <c r="F45" s="141"/>
      <c r="G45" s="141"/>
      <c r="H45" s="141"/>
      <c r="I45" s="141"/>
      <c r="J45" s="141"/>
      <c r="K45" s="141"/>
      <c r="L45" s="141"/>
      <c r="M45" s="141"/>
      <c r="N45" s="141"/>
      <c r="O45" s="141"/>
      <c r="P45" s="141"/>
      <c r="Q45" s="141"/>
    </row>
    <row r="46" spans="1:17" s="87" customFormat="1" ht="16.8" x14ac:dyDescent="0.35">
      <c r="A46" s="90" t="s">
        <v>70</v>
      </c>
      <c r="B46" s="90"/>
      <c r="C46" s="90"/>
      <c r="D46" s="90"/>
      <c r="E46" s="90"/>
      <c r="F46" s="90"/>
      <c r="G46" s="90"/>
      <c r="H46" s="90"/>
      <c r="I46" s="100"/>
      <c r="J46" s="100"/>
      <c r="K46" s="100"/>
      <c r="L46" s="100"/>
      <c r="M46" s="100"/>
      <c r="N46" s="100"/>
      <c r="O46" s="100"/>
      <c r="P46" s="100"/>
      <c r="Q46" s="100"/>
    </row>
    <row r="47" spans="1:17" ht="16.8" customHeight="1" x14ac:dyDescent="0.3">
      <c r="A47" s="37"/>
      <c r="B47" s="37"/>
      <c r="C47" s="37"/>
      <c r="D47" s="37"/>
      <c r="E47" s="37"/>
      <c r="F47" s="37"/>
      <c r="G47" s="37"/>
      <c r="H47" s="37"/>
      <c r="I47" s="43"/>
      <c r="J47" s="43"/>
      <c r="K47" s="43"/>
      <c r="L47" s="43"/>
      <c r="M47" s="43"/>
      <c r="N47" s="43"/>
      <c r="O47" s="43"/>
      <c r="P47" s="43"/>
      <c r="Q47" s="43"/>
    </row>
    <row r="48" spans="1:17" ht="16.8" x14ac:dyDescent="0.3">
      <c r="A48" s="142" t="s">
        <v>53</v>
      </c>
      <c r="B48" s="142"/>
      <c r="C48" s="142"/>
      <c r="D48" s="142"/>
      <c r="E48" s="142"/>
      <c r="F48" s="142"/>
      <c r="G48" s="142"/>
      <c r="H48" s="142"/>
      <c r="I48" s="142"/>
      <c r="J48" s="142"/>
      <c r="K48" s="142"/>
      <c r="L48" s="142"/>
      <c r="M48" s="142"/>
      <c r="N48" s="142"/>
      <c r="O48" s="142"/>
      <c r="P48" s="142"/>
      <c r="Q48" s="142"/>
    </row>
    <row r="49" spans="1:17" s="87" customFormat="1" ht="16.8" x14ac:dyDescent="0.35">
      <c r="A49" s="141" t="s">
        <v>368</v>
      </c>
      <c r="B49" s="141"/>
      <c r="C49" s="141"/>
      <c r="D49" s="141"/>
      <c r="E49" s="141"/>
      <c r="F49" s="141"/>
      <c r="G49" s="141"/>
      <c r="H49" s="141"/>
      <c r="I49" s="141"/>
      <c r="J49" s="141"/>
      <c r="K49" s="141"/>
      <c r="L49" s="141"/>
      <c r="M49" s="141"/>
      <c r="N49" s="141"/>
      <c r="O49" s="141"/>
      <c r="P49" s="141"/>
      <c r="Q49" s="141"/>
    </row>
    <row r="50" spans="1:17" s="87" customFormat="1" ht="16.8" x14ac:dyDescent="0.35">
      <c r="A50" s="141" t="s">
        <v>255</v>
      </c>
      <c r="B50" s="141"/>
      <c r="C50" s="141"/>
      <c r="D50" s="141"/>
      <c r="E50" s="141"/>
      <c r="F50" s="141"/>
      <c r="G50" s="141"/>
      <c r="H50" s="141"/>
      <c r="I50" s="141"/>
      <c r="J50" s="141"/>
      <c r="K50" s="141"/>
      <c r="L50" s="141"/>
      <c r="M50" s="141"/>
      <c r="N50" s="141"/>
      <c r="O50" s="141"/>
      <c r="P50" s="141"/>
      <c r="Q50" s="141"/>
    </row>
    <row r="51" spans="1:17" s="87" customFormat="1" ht="16.8" x14ac:dyDescent="0.35">
      <c r="A51" s="141" t="s">
        <v>369</v>
      </c>
      <c r="B51" s="141"/>
      <c r="C51" s="141"/>
      <c r="D51" s="141"/>
      <c r="E51" s="141"/>
      <c r="F51" s="141"/>
      <c r="G51" s="141"/>
      <c r="H51" s="141"/>
      <c r="I51" s="141"/>
      <c r="J51" s="141"/>
      <c r="K51" s="141"/>
      <c r="L51" s="141"/>
      <c r="M51" s="141"/>
      <c r="N51" s="141"/>
      <c r="O51" s="141"/>
      <c r="P51" s="141"/>
      <c r="Q51" s="141"/>
    </row>
    <row r="52" spans="1:17" s="87" customFormat="1" ht="16.8" x14ac:dyDescent="0.35">
      <c r="A52" s="90" t="s">
        <v>366</v>
      </c>
      <c r="B52" s="90"/>
      <c r="C52" s="90"/>
      <c r="D52" s="90"/>
      <c r="E52" s="90"/>
      <c r="F52" s="90"/>
      <c r="G52" s="90"/>
      <c r="H52" s="90"/>
      <c r="I52" s="90"/>
      <c r="J52" s="90"/>
      <c r="K52" s="90"/>
      <c r="L52" s="90"/>
      <c r="M52" s="90"/>
      <c r="N52" s="90"/>
      <c r="O52" s="90"/>
      <c r="P52" s="90"/>
      <c r="Q52" s="90"/>
    </row>
    <row r="53" spans="1:17" s="87" customFormat="1" ht="16.8" x14ac:dyDescent="0.35">
      <c r="A53" s="90" t="s">
        <v>367</v>
      </c>
      <c r="B53" s="90"/>
      <c r="C53" s="90"/>
      <c r="D53" s="90"/>
      <c r="E53" s="90"/>
      <c r="F53" s="90"/>
      <c r="G53" s="90"/>
      <c r="H53" s="90"/>
      <c r="I53" s="90"/>
      <c r="J53" s="90"/>
      <c r="K53" s="90"/>
      <c r="L53" s="90"/>
      <c r="M53" s="90"/>
      <c r="N53" s="90"/>
      <c r="O53" s="90"/>
      <c r="P53" s="90"/>
      <c r="Q53" s="90"/>
    </row>
    <row r="54" spans="1:17" s="87" customFormat="1" ht="16.8" x14ac:dyDescent="0.35">
      <c r="A54" s="141" t="s">
        <v>256</v>
      </c>
      <c r="B54" s="141"/>
      <c r="C54" s="141"/>
      <c r="D54" s="141"/>
      <c r="E54" s="141"/>
      <c r="F54" s="141"/>
      <c r="G54" s="141"/>
      <c r="H54" s="141"/>
      <c r="I54" s="141"/>
      <c r="J54" s="141"/>
      <c r="K54" s="141"/>
      <c r="L54" s="141"/>
      <c r="M54" s="141"/>
      <c r="N54" s="141"/>
      <c r="O54" s="141"/>
      <c r="P54" s="141"/>
      <c r="Q54" s="141"/>
    </row>
    <row r="55" spans="1:17" ht="16.8" customHeight="1" x14ac:dyDescent="0.3">
      <c r="A55" s="37"/>
      <c r="B55" s="37"/>
      <c r="C55" s="37"/>
      <c r="D55" s="37"/>
      <c r="E55" s="37"/>
      <c r="F55" s="37"/>
      <c r="G55" s="37"/>
      <c r="H55" s="37"/>
      <c r="I55" s="37"/>
      <c r="J55" s="37"/>
      <c r="K55" s="37"/>
      <c r="L55" s="37"/>
      <c r="M55" s="37"/>
      <c r="N55" s="37"/>
      <c r="O55" s="37"/>
      <c r="P55" s="37"/>
      <c r="Q55" s="37"/>
    </row>
    <row r="56" spans="1:17" ht="16.8" x14ac:dyDescent="0.3">
      <c r="A56" s="142" t="s">
        <v>54</v>
      </c>
      <c r="B56" s="142"/>
      <c r="C56" s="142"/>
      <c r="D56" s="142"/>
      <c r="E56" s="142"/>
      <c r="F56" s="142"/>
      <c r="G56" s="142"/>
      <c r="H56" s="142"/>
      <c r="I56" s="142"/>
      <c r="J56" s="142"/>
      <c r="K56" s="142"/>
      <c r="L56" s="142"/>
      <c r="M56" s="142"/>
      <c r="N56" s="142"/>
      <c r="O56" s="142"/>
      <c r="P56" s="142"/>
      <c r="Q56" s="142"/>
    </row>
    <row r="57" spans="1:17" s="87" customFormat="1" ht="16.8" x14ac:dyDescent="0.35">
      <c r="A57" s="101" t="s">
        <v>55</v>
      </c>
      <c r="B57" s="101"/>
      <c r="C57" s="101"/>
      <c r="D57" s="101"/>
      <c r="E57" s="101"/>
      <c r="F57" s="101"/>
      <c r="G57" s="101"/>
      <c r="H57" s="101"/>
      <c r="I57" s="41"/>
      <c r="J57" s="41"/>
      <c r="K57" s="41"/>
      <c r="L57" s="41"/>
      <c r="M57" s="41"/>
      <c r="N57" s="41"/>
      <c r="O57" s="41"/>
      <c r="P57" s="41"/>
      <c r="Q57" s="41"/>
    </row>
    <row r="58" spans="1:17" s="87" customFormat="1" ht="16.8" x14ac:dyDescent="0.35">
      <c r="A58" s="140" t="s">
        <v>258</v>
      </c>
      <c r="B58" s="140"/>
      <c r="C58" s="140"/>
      <c r="D58" s="140"/>
      <c r="E58" s="140"/>
      <c r="F58" s="140"/>
      <c r="G58" s="140"/>
      <c r="H58" s="140"/>
      <c r="I58" s="141"/>
      <c r="J58" s="141"/>
      <c r="K58" s="141"/>
      <c r="L58" s="141"/>
      <c r="M58" s="141"/>
      <c r="N58" s="141"/>
      <c r="O58" s="141"/>
      <c r="P58" s="141"/>
      <c r="Q58" s="141"/>
    </row>
    <row r="59" spans="1:17" s="87" customFormat="1" ht="16.8" x14ac:dyDescent="0.35">
      <c r="A59" s="90" t="s">
        <v>257</v>
      </c>
      <c r="B59" s="90"/>
      <c r="C59" s="90"/>
      <c r="D59" s="90"/>
      <c r="E59" s="90"/>
      <c r="F59" s="90"/>
      <c r="G59" s="90"/>
      <c r="H59" s="90"/>
      <c r="I59" s="100"/>
      <c r="J59" s="100"/>
      <c r="K59" s="100"/>
      <c r="L59" s="100"/>
      <c r="M59" s="100"/>
      <c r="N59" s="100"/>
      <c r="O59" s="100"/>
      <c r="P59" s="100"/>
      <c r="Q59" s="100"/>
    </row>
    <row r="60" spans="1:17" s="87" customFormat="1" ht="16.8" x14ac:dyDescent="0.35">
      <c r="A60" s="141" t="s">
        <v>56</v>
      </c>
      <c r="B60" s="141"/>
      <c r="C60" s="141"/>
      <c r="D60" s="141"/>
      <c r="E60" s="141"/>
      <c r="F60" s="141"/>
      <c r="G60" s="141"/>
      <c r="H60" s="141"/>
      <c r="I60" s="141"/>
      <c r="J60" s="141"/>
      <c r="K60" s="141"/>
      <c r="L60" s="141"/>
      <c r="M60" s="141"/>
      <c r="N60" s="141"/>
      <c r="O60" s="141"/>
      <c r="P60" s="141"/>
      <c r="Q60" s="141"/>
    </row>
    <row r="61" spans="1:17" s="87" customFormat="1" ht="16.8" x14ac:dyDescent="0.35">
      <c r="A61" s="141" t="s">
        <v>57</v>
      </c>
      <c r="B61" s="141"/>
      <c r="C61" s="141"/>
      <c r="D61" s="141"/>
      <c r="E61" s="141"/>
      <c r="F61" s="141"/>
      <c r="G61" s="141"/>
      <c r="H61" s="141"/>
      <c r="I61" s="141"/>
      <c r="J61" s="141"/>
      <c r="K61" s="141"/>
      <c r="L61" s="141"/>
      <c r="M61" s="141"/>
      <c r="N61" s="141"/>
      <c r="O61" s="141"/>
      <c r="P61" s="141"/>
      <c r="Q61" s="141"/>
    </row>
    <row r="62" spans="1:17" s="87" customFormat="1" ht="16.8" x14ac:dyDescent="0.35">
      <c r="A62" s="90" t="s">
        <v>58</v>
      </c>
      <c r="B62" s="90"/>
      <c r="C62" s="90"/>
      <c r="D62" s="90"/>
      <c r="E62" s="90"/>
      <c r="F62" s="90"/>
      <c r="G62" s="90"/>
      <c r="H62" s="90"/>
      <c r="I62" s="103"/>
      <c r="J62" s="103"/>
      <c r="K62" s="103"/>
      <c r="L62" s="103"/>
      <c r="M62" s="103"/>
      <c r="N62" s="103"/>
      <c r="O62" s="103"/>
      <c r="P62" s="103"/>
      <c r="Q62" s="103"/>
    </row>
    <row r="63" spans="1:17" s="87" customFormat="1" ht="16.8" x14ac:dyDescent="0.35">
      <c r="A63" s="90" t="s">
        <v>59</v>
      </c>
      <c r="B63" s="90"/>
      <c r="C63" s="90"/>
      <c r="D63" s="90"/>
      <c r="E63" s="90"/>
      <c r="F63" s="90"/>
      <c r="G63" s="90"/>
      <c r="H63" s="90"/>
      <c r="I63" s="103"/>
      <c r="J63" s="103"/>
      <c r="K63" s="103"/>
      <c r="L63" s="103"/>
      <c r="M63" s="103"/>
      <c r="N63" s="103"/>
      <c r="O63" s="103"/>
      <c r="P63" s="103"/>
      <c r="Q63" s="103"/>
    </row>
    <row r="64" spans="1:17" s="87" customFormat="1" ht="16.8" x14ac:dyDescent="0.35">
      <c r="A64" s="90" t="s">
        <v>60</v>
      </c>
      <c r="B64" s="90"/>
      <c r="C64" s="90"/>
      <c r="D64" s="90"/>
      <c r="E64" s="90"/>
      <c r="F64" s="90"/>
      <c r="G64" s="90"/>
      <c r="H64" s="90"/>
      <c r="I64" s="103"/>
      <c r="J64" s="103"/>
      <c r="K64" s="103"/>
      <c r="L64" s="103"/>
      <c r="M64" s="103"/>
      <c r="N64" s="103"/>
      <c r="O64" s="103"/>
      <c r="P64" s="103"/>
      <c r="Q64" s="103"/>
    </row>
    <row r="65" spans="1:17" s="87" customFormat="1" ht="16.8" x14ac:dyDescent="0.35">
      <c r="A65" s="90"/>
      <c r="B65" s="90"/>
      <c r="C65" s="90"/>
      <c r="D65" s="90"/>
      <c r="E65" s="90"/>
      <c r="F65" s="90"/>
      <c r="G65" s="90"/>
      <c r="H65" s="90"/>
      <c r="I65" s="103"/>
      <c r="J65" s="103"/>
      <c r="K65" s="103"/>
      <c r="L65" s="103"/>
      <c r="M65" s="103"/>
      <c r="N65" s="103"/>
      <c r="O65" s="103"/>
      <c r="P65" s="103"/>
      <c r="Q65" s="103"/>
    </row>
    <row r="66" spans="1:17" s="87" customFormat="1" ht="16.8" customHeight="1" x14ac:dyDescent="0.35">
      <c r="A66" s="101" t="s">
        <v>61</v>
      </c>
      <c r="B66" s="101"/>
      <c r="C66" s="101"/>
      <c r="D66" s="101"/>
      <c r="E66" s="101"/>
      <c r="F66" s="101"/>
      <c r="G66" s="101"/>
      <c r="H66" s="101"/>
      <c r="I66" s="41"/>
      <c r="J66" s="41"/>
      <c r="K66" s="41"/>
      <c r="L66" s="41"/>
      <c r="M66" s="41"/>
      <c r="N66" s="41"/>
      <c r="O66" s="41"/>
      <c r="P66" s="41"/>
      <c r="Q66" s="41"/>
    </row>
    <row r="67" spans="1:17" s="87" customFormat="1" ht="16.8" x14ac:dyDescent="0.35">
      <c r="A67" s="140" t="s">
        <v>260</v>
      </c>
      <c r="B67" s="141"/>
      <c r="C67" s="141"/>
      <c r="D67" s="141"/>
      <c r="E67" s="141"/>
      <c r="F67" s="141"/>
      <c r="G67" s="141"/>
      <c r="H67" s="141"/>
      <c r="I67" s="141"/>
      <c r="J67" s="141"/>
      <c r="K67" s="141"/>
      <c r="L67" s="141"/>
      <c r="M67" s="141"/>
      <c r="N67" s="141"/>
      <c r="O67" s="141"/>
      <c r="P67" s="141"/>
      <c r="Q67" s="141"/>
    </row>
    <row r="68" spans="1:17" s="87" customFormat="1" ht="16.8" x14ac:dyDescent="0.35">
      <c r="A68" s="102" t="s">
        <v>267</v>
      </c>
      <c r="B68" s="102"/>
      <c r="C68" s="102"/>
      <c r="D68" s="102"/>
      <c r="E68" s="102"/>
      <c r="F68" s="102"/>
      <c r="G68" s="102"/>
      <c r="H68" s="102"/>
      <c r="I68" s="103"/>
      <c r="J68" s="103"/>
      <c r="K68" s="103"/>
      <c r="L68" s="103"/>
      <c r="M68" s="103"/>
      <c r="N68" s="103"/>
      <c r="O68" s="103"/>
      <c r="P68" s="103"/>
      <c r="Q68" s="103"/>
    </row>
    <row r="69" spans="1:17" s="87" customFormat="1" ht="16.8" x14ac:dyDescent="0.35">
      <c r="A69" s="90" t="s">
        <v>268</v>
      </c>
      <c r="B69" s="90"/>
      <c r="C69" s="90"/>
      <c r="D69" s="90"/>
      <c r="E69" s="90"/>
      <c r="F69" s="90"/>
      <c r="G69" s="90"/>
      <c r="H69" s="90"/>
      <c r="I69" s="103"/>
      <c r="J69" s="103"/>
      <c r="K69" s="103"/>
      <c r="L69" s="103"/>
      <c r="M69" s="103"/>
      <c r="N69" s="103"/>
      <c r="O69" s="103"/>
      <c r="P69" s="103"/>
      <c r="Q69" s="103"/>
    </row>
    <row r="70" spans="1:17" s="87" customFormat="1" ht="16.8" x14ac:dyDescent="0.35">
      <c r="A70" s="102" t="s">
        <v>261</v>
      </c>
      <c r="B70" s="90"/>
      <c r="C70" s="90"/>
      <c r="D70" s="90"/>
      <c r="E70" s="90"/>
      <c r="F70" s="90"/>
      <c r="G70" s="90"/>
      <c r="H70" s="90"/>
      <c r="I70" s="103"/>
      <c r="J70" s="103"/>
      <c r="K70" s="103"/>
      <c r="L70" s="103"/>
      <c r="M70" s="103"/>
      <c r="N70" s="103"/>
      <c r="O70" s="103"/>
      <c r="P70" s="103"/>
      <c r="Q70" s="103"/>
    </row>
    <row r="71" spans="1:17" s="87" customFormat="1" ht="16.8" x14ac:dyDescent="0.35">
      <c r="A71" s="140" t="s">
        <v>262</v>
      </c>
      <c r="B71" s="140"/>
      <c r="C71" s="140"/>
      <c r="D71" s="140"/>
      <c r="E71" s="140"/>
      <c r="F71" s="140"/>
      <c r="G71" s="140"/>
      <c r="H71" s="140"/>
      <c r="I71" s="153"/>
      <c r="J71" s="153"/>
      <c r="K71" s="153"/>
      <c r="L71" s="153"/>
      <c r="M71" s="153"/>
      <c r="N71" s="153"/>
      <c r="O71" s="153"/>
      <c r="P71" s="153"/>
      <c r="Q71" s="153"/>
    </row>
    <row r="72" spans="1:17" s="87" customFormat="1" ht="16.8" x14ac:dyDescent="0.35">
      <c r="A72" s="105" t="s">
        <v>259</v>
      </c>
      <c r="B72" s="105"/>
      <c r="C72" s="105"/>
      <c r="D72" s="105"/>
      <c r="E72" s="105"/>
      <c r="F72" s="105"/>
      <c r="G72" s="105"/>
      <c r="H72" s="105"/>
      <c r="I72" s="104"/>
      <c r="J72" s="104"/>
      <c r="K72" s="104"/>
      <c r="L72" s="104"/>
      <c r="M72" s="104"/>
      <c r="N72" s="104"/>
      <c r="O72" s="104"/>
      <c r="P72" s="104"/>
      <c r="Q72" s="104"/>
    </row>
    <row r="73" spans="1:17" s="87" customFormat="1" ht="16.8" x14ac:dyDescent="0.35">
      <c r="A73" s="152" t="s">
        <v>266</v>
      </c>
      <c r="B73" s="152"/>
      <c r="C73" s="152"/>
      <c r="D73" s="152"/>
      <c r="E73" s="152"/>
      <c r="F73" s="152"/>
      <c r="G73" s="152"/>
      <c r="H73" s="152"/>
      <c r="I73" s="153"/>
      <c r="J73" s="153"/>
      <c r="K73" s="153"/>
      <c r="L73" s="153"/>
      <c r="M73" s="153"/>
      <c r="N73" s="153"/>
      <c r="O73" s="153"/>
      <c r="P73" s="153"/>
      <c r="Q73" s="153"/>
    </row>
    <row r="74" spans="1:17" s="107" customFormat="1" ht="16.8" x14ac:dyDescent="0.35">
      <c r="A74" s="106" t="s">
        <v>273</v>
      </c>
      <c r="B74" s="106"/>
      <c r="C74" s="106"/>
      <c r="D74" s="106"/>
      <c r="E74" s="106"/>
      <c r="F74" s="106"/>
      <c r="G74" s="106"/>
      <c r="H74" s="106"/>
      <c r="I74" s="105"/>
      <c r="J74" s="105"/>
      <c r="K74" s="105"/>
      <c r="L74" s="105"/>
      <c r="M74" s="105"/>
      <c r="N74" s="105"/>
      <c r="O74" s="105"/>
      <c r="P74" s="105"/>
      <c r="Q74" s="105"/>
    </row>
    <row r="75" spans="1:17" s="107" customFormat="1" ht="16.8" x14ac:dyDescent="0.35">
      <c r="A75" s="106" t="s">
        <v>274</v>
      </c>
      <c r="B75" s="106"/>
      <c r="C75" s="106"/>
      <c r="D75" s="106"/>
      <c r="E75" s="106"/>
      <c r="F75" s="106"/>
      <c r="G75" s="106"/>
      <c r="H75" s="106"/>
      <c r="I75" s="105"/>
      <c r="J75" s="105"/>
      <c r="K75" s="105"/>
      <c r="L75" s="105"/>
      <c r="M75" s="105"/>
      <c r="N75" s="105"/>
      <c r="O75" s="105"/>
      <c r="P75" s="105"/>
      <c r="Q75" s="105"/>
    </row>
    <row r="76" spans="1:17" s="87" customFormat="1" ht="16.8" x14ac:dyDescent="0.35">
      <c r="A76" s="152" t="s">
        <v>264</v>
      </c>
      <c r="B76" s="152"/>
      <c r="C76" s="152"/>
      <c r="D76" s="152"/>
      <c r="E76" s="152"/>
      <c r="F76" s="152"/>
      <c r="G76" s="152"/>
      <c r="H76" s="152"/>
      <c r="I76" s="153"/>
      <c r="J76" s="153"/>
      <c r="K76" s="153"/>
      <c r="L76" s="153"/>
      <c r="M76" s="153"/>
      <c r="N76" s="153"/>
      <c r="O76" s="153"/>
      <c r="P76" s="153"/>
      <c r="Q76" s="153"/>
    </row>
    <row r="77" spans="1:17" s="87" customFormat="1" ht="16.8" x14ac:dyDescent="0.35">
      <c r="A77" s="105" t="s">
        <v>265</v>
      </c>
      <c r="B77" s="105"/>
      <c r="C77" s="105"/>
      <c r="D77" s="105"/>
      <c r="E77" s="105"/>
      <c r="F77" s="105"/>
      <c r="G77" s="105"/>
      <c r="H77" s="105"/>
      <c r="I77" s="108"/>
      <c r="J77" s="108"/>
      <c r="K77" s="108"/>
      <c r="L77" s="108"/>
      <c r="M77" s="108"/>
      <c r="N77" s="108"/>
      <c r="O77" s="108"/>
      <c r="P77" s="108"/>
      <c r="Q77" s="108"/>
    </row>
    <row r="78" spans="1:17" s="87" customFormat="1" ht="16.8" x14ac:dyDescent="0.35">
      <c r="A78" s="140" t="s">
        <v>263</v>
      </c>
      <c r="B78" s="141"/>
      <c r="C78" s="141"/>
      <c r="D78" s="141"/>
      <c r="E78" s="141"/>
      <c r="F78" s="141"/>
      <c r="G78" s="141"/>
      <c r="H78" s="141"/>
      <c r="I78" s="141"/>
      <c r="J78" s="141"/>
      <c r="K78" s="141"/>
      <c r="L78" s="141"/>
      <c r="M78" s="141"/>
      <c r="N78" s="141"/>
      <c r="O78" s="141"/>
      <c r="P78" s="141"/>
      <c r="Q78" s="141"/>
    </row>
    <row r="79" spans="1:17" s="87" customFormat="1" ht="16.8" x14ac:dyDescent="0.35">
      <c r="A79" s="140" t="s">
        <v>365</v>
      </c>
      <c r="B79" s="141"/>
      <c r="C79" s="141"/>
      <c r="D79" s="141"/>
      <c r="E79" s="141"/>
      <c r="F79" s="141"/>
      <c r="G79" s="141"/>
      <c r="H79" s="141"/>
      <c r="I79" s="141"/>
      <c r="J79" s="141"/>
      <c r="K79" s="141"/>
      <c r="L79" s="141"/>
      <c r="M79" s="141"/>
      <c r="N79" s="141"/>
      <c r="O79" s="141"/>
      <c r="P79" s="141"/>
      <c r="Q79" s="141"/>
    </row>
    <row r="80" spans="1:17" ht="16.8" customHeight="1" x14ac:dyDescent="0.3">
      <c r="A80" s="37"/>
      <c r="B80" s="37"/>
      <c r="C80" s="37"/>
      <c r="D80" s="37"/>
      <c r="E80" s="37"/>
      <c r="F80" s="37"/>
      <c r="G80" s="37"/>
      <c r="H80" s="37"/>
      <c r="I80" s="37"/>
      <c r="J80" s="37"/>
      <c r="K80" s="37"/>
      <c r="L80" s="37"/>
      <c r="M80" s="37"/>
      <c r="N80" s="37"/>
      <c r="O80" s="37"/>
      <c r="P80" s="37"/>
      <c r="Q80" s="37"/>
    </row>
    <row r="81" spans="1:17" ht="16.8" x14ac:dyDescent="0.3">
      <c r="A81" s="142" t="s">
        <v>62</v>
      </c>
      <c r="B81" s="142"/>
      <c r="C81" s="142"/>
      <c r="D81" s="142"/>
      <c r="E81" s="142"/>
      <c r="F81" s="142"/>
      <c r="G81" s="142"/>
      <c r="H81" s="142"/>
      <c r="I81" s="142"/>
      <c r="J81" s="142"/>
      <c r="K81" s="142"/>
      <c r="L81" s="142"/>
      <c r="M81" s="142"/>
      <c r="N81" s="142"/>
      <c r="O81" s="142"/>
      <c r="P81" s="142"/>
      <c r="Q81" s="142"/>
    </row>
    <row r="82" spans="1:17" s="87" customFormat="1" ht="16.8" x14ac:dyDescent="0.35">
      <c r="A82" s="150" t="s">
        <v>275</v>
      </c>
      <c r="B82" s="150"/>
      <c r="C82" s="150"/>
      <c r="D82" s="150"/>
      <c r="E82" s="150"/>
      <c r="F82" s="150"/>
      <c r="G82" s="150"/>
      <c r="H82" s="150"/>
      <c r="I82" s="151"/>
      <c r="J82" s="151"/>
      <c r="K82" s="151"/>
      <c r="L82" s="151"/>
      <c r="M82" s="151"/>
      <c r="N82" s="151"/>
      <c r="O82" s="151"/>
      <c r="P82" s="151"/>
      <c r="Q82" s="151"/>
    </row>
    <row r="83" spans="1:17" s="87" customFormat="1" ht="16.8" x14ac:dyDescent="0.35">
      <c r="A83" s="90" t="s">
        <v>276</v>
      </c>
      <c r="B83" s="90"/>
      <c r="C83" s="90"/>
      <c r="D83" s="90"/>
      <c r="E83" s="90"/>
      <c r="F83" s="90"/>
      <c r="G83" s="90"/>
      <c r="H83" s="90"/>
      <c r="I83" s="109"/>
      <c r="J83" s="109"/>
      <c r="K83" s="109"/>
      <c r="L83" s="109"/>
      <c r="M83" s="109"/>
      <c r="N83" s="109"/>
      <c r="O83" s="109"/>
      <c r="P83" s="109"/>
      <c r="Q83" s="109"/>
    </row>
    <row r="84" spans="1:17" s="87" customFormat="1" ht="16.8" x14ac:dyDescent="0.35">
      <c r="A84" s="140" t="s">
        <v>280</v>
      </c>
      <c r="B84" s="140"/>
      <c r="C84" s="140"/>
      <c r="D84" s="140"/>
      <c r="E84" s="140"/>
      <c r="F84" s="140"/>
      <c r="G84" s="140"/>
      <c r="H84" s="140"/>
      <c r="I84" s="141"/>
      <c r="J84" s="141"/>
      <c r="K84" s="141"/>
      <c r="L84" s="141"/>
      <c r="M84" s="141"/>
      <c r="N84" s="141"/>
      <c r="O84" s="141"/>
      <c r="P84" s="141"/>
      <c r="Q84" s="141"/>
    </row>
    <row r="85" spans="1:17" s="87" customFormat="1" ht="16.8" x14ac:dyDescent="0.35">
      <c r="A85" s="102" t="s">
        <v>207</v>
      </c>
      <c r="B85" s="102"/>
      <c r="C85" s="102"/>
      <c r="D85" s="102"/>
      <c r="E85" s="102"/>
      <c r="F85" s="102"/>
      <c r="G85" s="102"/>
      <c r="H85" s="102"/>
      <c r="I85" s="90"/>
      <c r="J85" s="90"/>
      <c r="K85" s="90"/>
      <c r="L85" s="90"/>
      <c r="M85" s="90"/>
      <c r="N85" s="90"/>
      <c r="O85" s="90"/>
      <c r="P85" s="90"/>
      <c r="Q85" s="90"/>
    </row>
    <row r="86" spans="1:17" s="87" customFormat="1" ht="16.8" x14ac:dyDescent="0.35">
      <c r="A86" s="102" t="s">
        <v>206</v>
      </c>
      <c r="B86" s="102"/>
      <c r="C86" s="102"/>
      <c r="D86" s="102"/>
      <c r="E86" s="102"/>
      <c r="F86" s="102"/>
      <c r="G86" s="102"/>
      <c r="H86" s="102"/>
      <c r="I86" s="90"/>
      <c r="J86" s="90"/>
      <c r="K86" s="90"/>
      <c r="L86" s="90"/>
      <c r="M86" s="90"/>
      <c r="N86" s="90"/>
      <c r="O86" s="90"/>
      <c r="P86" s="90"/>
      <c r="Q86" s="90"/>
    </row>
    <row r="87" spans="1:17" s="87" customFormat="1" ht="16.8" x14ac:dyDescent="0.35">
      <c r="A87" s="140" t="s">
        <v>205</v>
      </c>
      <c r="B87" s="140"/>
      <c r="C87" s="140"/>
      <c r="D87" s="140"/>
      <c r="E87" s="140"/>
      <c r="F87" s="140"/>
      <c r="G87" s="140"/>
      <c r="H87" s="140"/>
      <c r="I87" s="141"/>
      <c r="J87" s="141"/>
      <c r="K87" s="141"/>
      <c r="L87" s="141"/>
      <c r="M87" s="141"/>
      <c r="N87" s="141"/>
      <c r="O87" s="141"/>
      <c r="P87" s="141"/>
      <c r="Q87" s="141"/>
    </row>
    <row r="88" spans="1:17" s="87" customFormat="1" ht="16.8" x14ac:dyDescent="0.35">
      <c r="A88" s="102" t="s">
        <v>278</v>
      </c>
      <c r="B88" s="102"/>
      <c r="C88" s="102"/>
      <c r="D88" s="102"/>
      <c r="E88" s="102"/>
      <c r="F88" s="102"/>
      <c r="G88" s="102"/>
      <c r="H88" s="102"/>
      <c r="I88" s="90"/>
      <c r="J88" s="90"/>
      <c r="K88" s="90"/>
      <c r="L88" s="90"/>
      <c r="M88" s="90"/>
      <c r="N88" s="90"/>
      <c r="O88" s="90"/>
      <c r="P88" s="90"/>
      <c r="Q88" s="90"/>
    </row>
    <row r="89" spans="1:17" s="87" customFormat="1" ht="16.8" x14ac:dyDescent="0.35">
      <c r="A89" s="102" t="s">
        <v>279</v>
      </c>
      <c r="B89" s="102"/>
      <c r="C89" s="102"/>
      <c r="D89" s="102"/>
      <c r="E89" s="102"/>
      <c r="F89" s="102"/>
      <c r="G89" s="102"/>
      <c r="H89" s="102"/>
      <c r="I89" s="90"/>
      <c r="J89" s="90"/>
      <c r="K89" s="90"/>
      <c r="L89" s="90"/>
      <c r="M89" s="90"/>
      <c r="N89" s="90"/>
      <c r="O89" s="90"/>
      <c r="P89" s="90"/>
      <c r="Q89" s="90"/>
    </row>
    <row r="90" spans="1:17" s="87" customFormat="1" ht="16.8" x14ac:dyDescent="0.35">
      <c r="A90" s="102" t="s">
        <v>272</v>
      </c>
      <c r="B90" s="102"/>
      <c r="C90" s="102"/>
      <c r="D90" s="102"/>
      <c r="E90" s="102"/>
      <c r="F90" s="102"/>
      <c r="G90" s="102"/>
      <c r="H90" s="102"/>
      <c r="I90" s="90"/>
      <c r="J90" s="90"/>
      <c r="K90" s="90"/>
      <c r="L90" s="90"/>
      <c r="M90" s="90"/>
      <c r="N90" s="90"/>
      <c r="O90" s="90"/>
      <c r="P90" s="90"/>
      <c r="Q90" s="90"/>
    </row>
    <row r="91" spans="1:17" s="87" customFormat="1" ht="16.8" x14ac:dyDescent="0.35">
      <c r="A91" s="102"/>
      <c r="B91" s="102"/>
      <c r="C91" s="102"/>
      <c r="D91" s="102"/>
      <c r="E91" s="102"/>
      <c r="F91" s="102"/>
      <c r="G91" s="102"/>
      <c r="H91" s="102"/>
      <c r="I91" s="90"/>
      <c r="J91" s="90"/>
      <c r="K91" s="90"/>
      <c r="L91" s="90"/>
      <c r="M91" s="90"/>
      <c r="N91" s="90"/>
      <c r="O91" s="90"/>
      <c r="P91" s="90"/>
      <c r="Q91" s="90"/>
    </row>
    <row r="92" spans="1:17" ht="16.8" customHeight="1" x14ac:dyDescent="0.3">
      <c r="A92" s="44"/>
      <c r="B92" s="44"/>
      <c r="C92" s="44"/>
      <c r="D92" s="44"/>
      <c r="E92" s="44"/>
      <c r="F92" s="44"/>
      <c r="G92" s="44"/>
      <c r="H92" s="44"/>
      <c r="I92" s="37"/>
      <c r="J92" s="37"/>
      <c r="K92" s="37"/>
      <c r="L92" s="37"/>
      <c r="M92" s="37"/>
      <c r="N92" s="37"/>
      <c r="O92" s="37"/>
      <c r="P92" s="37"/>
      <c r="Q92" s="37"/>
    </row>
    <row r="93" spans="1:17" ht="16.8" x14ac:dyDescent="0.3">
      <c r="A93" s="142" t="s">
        <v>63</v>
      </c>
      <c r="B93" s="142"/>
      <c r="C93" s="142"/>
      <c r="D93" s="142"/>
      <c r="E93" s="142"/>
      <c r="F93" s="142"/>
      <c r="G93" s="142"/>
      <c r="H93" s="142"/>
      <c r="I93" s="142"/>
      <c r="J93" s="142"/>
      <c r="K93" s="142"/>
      <c r="L93" s="142"/>
      <c r="M93" s="142"/>
      <c r="N93" s="142"/>
      <c r="O93" s="142"/>
      <c r="P93" s="142"/>
      <c r="Q93" s="142"/>
    </row>
    <row r="94" spans="1:17" s="87" customFormat="1" ht="16.8" x14ac:dyDescent="0.35">
      <c r="A94" s="140" t="s">
        <v>271</v>
      </c>
      <c r="B94" s="140"/>
      <c r="C94" s="140"/>
      <c r="D94" s="140"/>
      <c r="E94" s="140"/>
      <c r="F94" s="140"/>
      <c r="G94" s="140"/>
      <c r="H94" s="140"/>
      <c r="I94" s="141"/>
      <c r="J94" s="141"/>
      <c r="K94" s="141"/>
      <c r="L94" s="141"/>
      <c r="M94" s="141"/>
      <c r="N94" s="141"/>
      <c r="O94" s="141"/>
      <c r="P94" s="141"/>
      <c r="Q94" s="141"/>
    </row>
    <row r="95" spans="1:17" s="87" customFormat="1" ht="16.8" x14ac:dyDescent="0.35">
      <c r="A95" s="102" t="s">
        <v>277</v>
      </c>
      <c r="B95" s="102"/>
      <c r="C95" s="102"/>
      <c r="D95" s="102"/>
      <c r="E95" s="102"/>
      <c r="F95" s="102"/>
      <c r="G95" s="102"/>
      <c r="H95" s="102"/>
      <c r="I95" s="90"/>
      <c r="J95" s="90"/>
      <c r="K95" s="90"/>
      <c r="L95" s="90"/>
      <c r="M95" s="90"/>
      <c r="N95" s="90"/>
      <c r="O95" s="90"/>
      <c r="P95" s="90"/>
      <c r="Q95" s="90"/>
    </row>
    <row r="96" spans="1:17" s="87" customFormat="1" ht="16.8" x14ac:dyDescent="0.35">
      <c r="A96" s="140" t="s">
        <v>363</v>
      </c>
      <c r="B96" s="140"/>
      <c r="C96" s="140"/>
      <c r="D96" s="140"/>
      <c r="E96" s="140"/>
      <c r="F96" s="140"/>
      <c r="G96" s="140"/>
      <c r="H96" s="140"/>
      <c r="I96" s="141"/>
      <c r="J96" s="141"/>
      <c r="K96" s="141"/>
      <c r="L96" s="141"/>
      <c r="M96" s="141"/>
      <c r="N96" s="141"/>
      <c r="O96" s="141"/>
      <c r="P96" s="141"/>
      <c r="Q96" s="141"/>
    </row>
    <row r="97" spans="1:17" s="87" customFormat="1" ht="16.8" x14ac:dyDescent="0.35">
      <c r="A97" s="102" t="s">
        <v>364</v>
      </c>
      <c r="B97" s="102"/>
      <c r="C97" s="102"/>
      <c r="D97" s="102"/>
      <c r="E97" s="102"/>
      <c r="F97" s="102"/>
      <c r="G97" s="102"/>
      <c r="H97" s="102"/>
      <c r="I97" s="90"/>
      <c r="J97" s="90"/>
      <c r="K97" s="90"/>
      <c r="L97" s="90"/>
      <c r="M97" s="90"/>
      <c r="N97" s="90"/>
      <c r="O97" s="90"/>
      <c r="P97" s="90"/>
      <c r="Q97" s="90"/>
    </row>
    <row r="98" spans="1:17" s="87" customFormat="1" ht="16.8" x14ac:dyDescent="0.35">
      <c r="A98" s="140" t="s">
        <v>269</v>
      </c>
      <c r="B98" s="140"/>
      <c r="C98" s="140"/>
      <c r="D98" s="140"/>
      <c r="E98" s="140"/>
      <c r="F98" s="140"/>
      <c r="G98" s="140"/>
      <c r="H98" s="140"/>
      <c r="I98" s="141"/>
      <c r="J98" s="141"/>
      <c r="K98" s="141"/>
      <c r="L98" s="141"/>
      <c r="M98" s="141"/>
      <c r="N98" s="141"/>
      <c r="O98" s="141"/>
      <c r="P98" s="141"/>
      <c r="Q98" s="141"/>
    </row>
    <row r="99" spans="1:17" s="87" customFormat="1" ht="16.8" x14ac:dyDescent="0.35">
      <c r="A99" s="140" t="s">
        <v>270</v>
      </c>
      <c r="B99" s="140"/>
      <c r="C99" s="140"/>
      <c r="D99" s="140"/>
      <c r="E99" s="140"/>
      <c r="F99" s="140"/>
      <c r="G99" s="140"/>
      <c r="H99" s="140"/>
      <c r="I99" s="141"/>
      <c r="J99" s="141"/>
      <c r="K99" s="141"/>
      <c r="L99" s="141"/>
      <c r="M99" s="141"/>
      <c r="N99" s="141"/>
      <c r="O99" s="141"/>
      <c r="P99" s="141"/>
      <c r="Q99" s="141"/>
    </row>
    <row r="100" spans="1:17" ht="4.8" customHeight="1" x14ac:dyDescent="0.3">
      <c r="A100" s="45"/>
      <c r="B100" s="45"/>
      <c r="C100" s="45"/>
      <c r="D100" s="45"/>
      <c r="E100" s="45"/>
      <c r="F100" s="45"/>
      <c r="G100" s="45"/>
      <c r="H100" s="45"/>
      <c r="I100" s="46"/>
      <c r="J100" s="46"/>
      <c r="K100" s="46"/>
      <c r="L100" s="46"/>
      <c r="M100" s="46"/>
      <c r="N100" s="46"/>
      <c r="O100" s="46"/>
      <c r="P100" s="46"/>
      <c r="Q100" s="46"/>
    </row>
    <row r="101" spans="1:17" ht="16.8" customHeight="1" x14ac:dyDescent="0.3">
      <c r="B101" s="157" t="s">
        <v>21</v>
      </c>
      <c r="C101" s="157"/>
      <c r="D101" s="157"/>
      <c r="E101" s="157"/>
      <c r="F101" s="157"/>
      <c r="G101" s="157"/>
      <c r="H101" s="46"/>
      <c r="M101" s="46"/>
      <c r="N101" s="46"/>
      <c r="O101" s="146" t="s">
        <v>23</v>
      </c>
      <c r="P101" s="146"/>
      <c r="Q101" s="31"/>
    </row>
    <row r="102" spans="1:17" ht="16.8" x14ac:dyDescent="0.3">
      <c r="A102" s="45"/>
      <c r="B102" s="45"/>
      <c r="C102" s="36" t="s">
        <v>22</v>
      </c>
      <c r="D102" s="45"/>
      <c r="E102" s="45"/>
      <c r="F102" s="45"/>
      <c r="G102" s="45"/>
      <c r="H102" s="45"/>
      <c r="I102" s="46"/>
      <c r="J102" s="46"/>
      <c r="K102" s="46"/>
      <c r="L102" s="46"/>
      <c r="M102" s="46"/>
      <c r="N102" s="46"/>
      <c r="O102" s="50" t="s">
        <v>22</v>
      </c>
      <c r="P102" s="46"/>
      <c r="Q102" s="46"/>
    </row>
    <row r="103" spans="1:17" x14ac:dyDescent="0.3">
      <c r="A103" s="46"/>
      <c r="B103" s="46"/>
      <c r="C103" s="46"/>
      <c r="D103" s="46"/>
      <c r="E103" s="46"/>
      <c r="F103" s="46"/>
      <c r="G103" s="46"/>
      <c r="H103" s="46"/>
      <c r="I103" s="46"/>
      <c r="J103" s="46"/>
      <c r="K103" s="46"/>
      <c r="L103" s="46"/>
      <c r="M103" s="46"/>
      <c r="N103" s="46"/>
      <c r="O103" s="46"/>
      <c r="P103" s="46"/>
      <c r="Q103" s="46"/>
    </row>
    <row r="104" spans="1:17" x14ac:dyDescent="0.3">
      <c r="A104" s="46"/>
      <c r="B104" s="46"/>
      <c r="C104" s="46"/>
      <c r="D104" s="46"/>
      <c r="E104" s="46"/>
      <c r="F104" s="46"/>
      <c r="G104" s="46"/>
      <c r="H104" s="46"/>
      <c r="I104" s="46"/>
      <c r="J104" s="46"/>
      <c r="K104" s="46"/>
      <c r="L104" s="46"/>
      <c r="M104" s="46"/>
      <c r="N104" s="46"/>
      <c r="O104" s="46"/>
      <c r="P104" s="46"/>
      <c r="Q104" s="46"/>
    </row>
    <row r="105" spans="1:17" x14ac:dyDescent="0.3">
      <c r="A105" s="46"/>
      <c r="B105" s="46"/>
      <c r="C105" s="46"/>
      <c r="D105" s="46"/>
      <c r="E105" s="46"/>
      <c r="F105" s="46"/>
      <c r="G105" s="46"/>
      <c r="H105" s="46"/>
      <c r="I105" s="46"/>
      <c r="J105" s="46"/>
      <c r="K105" s="46"/>
      <c r="L105" s="46"/>
      <c r="M105" s="46"/>
      <c r="N105" s="46"/>
      <c r="O105" s="46"/>
      <c r="P105" s="46"/>
      <c r="Q105" s="46"/>
    </row>
    <row r="106" spans="1:17" x14ac:dyDescent="0.3">
      <c r="A106" s="46"/>
      <c r="B106" s="46"/>
      <c r="C106" s="46"/>
      <c r="D106" s="46"/>
      <c r="E106" s="46"/>
      <c r="F106" s="46"/>
      <c r="G106" s="46"/>
      <c r="H106" s="46"/>
      <c r="I106" s="46"/>
      <c r="J106" s="46"/>
      <c r="K106" s="46"/>
      <c r="L106" s="46"/>
      <c r="M106" s="46"/>
      <c r="N106" s="46"/>
      <c r="O106" s="46"/>
      <c r="P106" s="46"/>
      <c r="Q106" s="46"/>
    </row>
  </sheetData>
  <mergeCells count="57">
    <mergeCell ref="B101:G101"/>
    <mergeCell ref="B29:M29"/>
    <mergeCell ref="A31:Q31"/>
    <mergeCell ref="A33:Q33"/>
    <mergeCell ref="A34:Q34"/>
    <mergeCell ref="A71:Q71"/>
    <mergeCell ref="A54:Q54"/>
    <mergeCell ref="A56:Q56"/>
    <mergeCell ref="A61:Q61"/>
    <mergeCell ref="A67:Q67"/>
    <mergeCell ref="A45:Q45"/>
    <mergeCell ref="A48:Q48"/>
    <mergeCell ref="A49:Q49"/>
    <mergeCell ref="A50:Q50"/>
    <mergeCell ref="O101:P101"/>
    <mergeCell ref="A94:Q94"/>
    <mergeCell ref="A1:P1"/>
    <mergeCell ref="A2:P2"/>
    <mergeCell ref="A3:P3"/>
    <mergeCell ref="A6:P6"/>
    <mergeCell ref="B17:O17"/>
    <mergeCell ref="F15:Q15"/>
    <mergeCell ref="A5:P5"/>
    <mergeCell ref="A15:E15"/>
    <mergeCell ref="C16:L16"/>
    <mergeCell ref="A98:Q98"/>
    <mergeCell ref="A99:Q99"/>
    <mergeCell ref="A79:Q79"/>
    <mergeCell ref="A81:Q81"/>
    <mergeCell ref="M28:Q28"/>
    <mergeCell ref="A82:Q82"/>
    <mergeCell ref="A84:Q84"/>
    <mergeCell ref="A87:Q87"/>
    <mergeCell ref="A93:Q93"/>
    <mergeCell ref="A60:Q60"/>
    <mergeCell ref="A73:Q73"/>
    <mergeCell ref="A76:Q76"/>
    <mergeCell ref="A96:Q96"/>
    <mergeCell ref="A78:Q78"/>
    <mergeCell ref="I18:J18"/>
    <mergeCell ref="B19:L19"/>
    <mergeCell ref="A23:D23"/>
    <mergeCell ref="E23:O23"/>
    <mergeCell ref="B26:J26"/>
    <mergeCell ref="C24:L24"/>
    <mergeCell ref="B25:P25"/>
    <mergeCell ref="B18:F18"/>
    <mergeCell ref="B21:F21"/>
    <mergeCell ref="B20:G20"/>
    <mergeCell ref="B27:L27"/>
    <mergeCell ref="A58:Q58"/>
    <mergeCell ref="A35:Q35"/>
    <mergeCell ref="A42:Q42"/>
    <mergeCell ref="A43:Q43"/>
    <mergeCell ref="A44:Q44"/>
    <mergeCell ref="A51:Q51"/>
    <mergeCell ref="B28:F28"/>
  </mergeCells>
  <hyperlinks>
    <hyperlink ref="B29" r:id="rId1" xr:uid="{8C6F9E53-D552-44AB-AA42-92F16CC40975}"/>
  </hyperlinks>
  <pageMargins left="0.51" right="0.53" top="0.49" bottom="0.44" header="0.48" footer="0.44"/>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6507-2753-45EC-A3CB-DFBAEC974AA1}">
  <sheetPr>
    <tabColor rgb="FFFFFF00"/>
  </sheetPr>
  <dimension ref="A1:L111"/>
  <sheetViews>
    <sheetView tabSelected="1" workbookViewId="0">
      <pane ySplit="7" topLeftCell="A101" activePane="bottomLeft" state="frozen"/>
      <selection pane="bottomLeft" activeCell="G108" sqref="G108"/>
    </sheetView>
  </sheetViews>
  <sheetFormatPr defaultRowHeight="15.6" x14ac:dyDescent="0.3"/>
  <cols>
    <col min="1" max="1" width="7.33203125" style="2" customWidth="1"/>
    <col min="2" max="2" width="6.109375" style="2" customWidth="1"/>
    <col min="3" max="3" width="12.109375" style="2" customWidth="1"/>
    <col min="4" max="4" width="12.109375" style="2" bestFit="1" customWidth="1"/>
    <col min="5" max="5" width="55.109375" style="2" customWidth="1"/>
    <col min="6" max="6" width="5.6640625" style="2" customWidth="1"/>
    <col min="7" max="7" width="71.77734375" style="2" customWidth="1"/>
    <col min="8" max="8" width="7.44140625" style="2" customWidth="1"/>
    <col min="9" max="9" width="6.88671875" style="2" customWidth="1"/>
    <col min="10" max="10" width="12.6640625" style="2" customWidth="1"/>
    <col min="11" max="12" width="14.33203125" style="2" customWidth="1"/>
    <col min="13" max="16384" width="8.88671875" style="2"/>
  </cols>
  <sheetData>
    <row r="1" spans="1:12" x14ac:dyDescent="0.3">
      <c r="A1" s="3" t="s">
        <v>0</v>
      </c>
    </row>
    <row r="2" spans="1:12" x14ac:dyDescent="0.3">
      <c r="A2" s="2" t="s">
        <v>1</v>
      </c>
    </row>
    <row r="3" spans="1:12" x14ac:dyDescent="0.3">
      <c r="A3" s="2" t="s">
        <v>3</v>
      </c>
    </row>
    <row r="4" spans="1:12" ht="15.6" customHeight="1" x14ac:dyDescent="0.3">
      <c r="A4" s="2" t="s">
        <v>83</v>
      </c>
      <c r="B4" s="2" t="s">
        <v>84</v>
      </c>
    </row>
    <row r="5" spans="1:12" ht="6" customHeight="1" x14ac:dyDescent="0.3"/>
    <row r="6" spans="1:12" ht="6" customHeight="1" x14ac:dyDescent="0.3"/>
    <row r="7" spans="1:12" s="54" customFormat="1" ht="32.4" customHeight="1" x14ac:dyDescent="0.3">
      <c r="A7" s="51" t="s">
        <v>4</v>
      </c>
      <c r="B7" s="111" t="s">
        <v>5</v>
      </c>
      <c r="C7" s="111" t="s">
        <v>6</v>
      </c>
      <c r="D7" s="52" t="s">
        <v>7</v>
      </c>
      <c r="E7" s="52" t="s">
        <v>8</v>
      </c>
      <c r="F7" s="52" t="s">
        <v>9</v>
      </c>
      <c r="G7" s="52" t="s">
        <v>40</v>
      </c>
      <c r="H7" s="52" t="s">
        <v>10</v>
      </c>
      <c r="I7" s="111" t="s">
        <v>11</v>
      </c>
      <c r="J7" s="52" t="s">
        <v>13</v>
      </c>
      <c r="K7" s="53" t="s">
        <v>12</v>
      </c>
    </row>
    <row r="8" spans="1:12" x14ac:dyDescent="0.3">
      <c r="A8" s="4" t="str">
        <f>IF(Table1[[#This Row],[Số HĐ]]=BBVC!$R$2,MAX(DATA!A7:A7)+1,"")</f>
        <v/>
      </c>
      <c r="B8" s="5">
        <v>1</v>
      </c>
      <c r="C8" s="7">
        <v>46162</v>
      </c>
      <c r="D8" s="55" t="s">
        <v>88</v>
      </c>
      <c r="E8" s="5" t="str">
        <f>VLOOKUP(Table1[[#This Row],[MST]],Table2[#All],2,0)</f>
        <v>CÔNG TY TNHH ỨNG DỤNG GIẢI PHÁP CÔNG NGHỆ</v>
      </c>
      <c r="F8" s="5" t="str">
        <f>VLOOKUP(Table1[[#This Row],[MST]],Table2[#All],3,0)</f>
        <v>Số 100 Ngõ 40 Tạ Quang Bửu, Phường Bạch Mai, Thành phố Hà Nội, Việt Nam</v>
      </c>
      <c r="G8" s="5" t="s">
        <v>94</v>
      </c>
      <c r="H8" s="5" t="s">
        <v>95</v>
      </c>
      <c r="I8" s="5">
        <v>1</v>
      </c>
      <c r="J8" s="9">
        <v>13500000</v>
      </c>
      <c r="K8" s="58">
        <f>Table1[[#This Row],[Số lượng]]*Table1[[#This Row],[Đơn giá]]</f>
        <v>13500000</v>
      </c>
      <c r="L8" s="138"/>
    </row>
    <row r="9" spans="1:12" x14ac:dyDescent="0.3">
      <c r="A9" s="4" t="str">
        <f>IF(Table1[[#This Row],[Số HĐ]]=BBVC!$R$2,MAX(DATA!A8:A8)+1,"")</f>
        <v/>
      </c>
      <c r="B9" s="5">
        <v>2</v>
      </c>
      <c r="C9" s="7">
        <v>46162</v>
      </c>
      <c r="D9" s="55" t="s">
        <v>91</v>
      </c>
      <c r="E9" s="5" t="str">
        <f>VLOOKUP(Table1[[#This Row],[MST]],Table2[#All],2,0)</f>
        <v>CÔNG TY TNHH THIẾT BỊ ĐO LƯỜNG VÀ GIẢI PHÁP CÔNG NGHỆ TRƯỜNG PHÁT</v>
      </c>
      <c r="F9" s="5" t="str">
        <f>VLOOKUP(Table1[[#This Row],[MST]],Table2[#All],3,0)</f>
        <v>Lô 27, Khu A1A2A3, Tổ 7, Phường Long Biên, Thành phố Hà Nội, Việt Nam</v>
      </c>
      <c r="G9" s="5" t="s">
        <v>96</v>
      </c>
      <c r="H9" s="5" t="s">
        <v>95</v>
      </c>
      <c r="I9" s="5">
        <v>1</v>
      </c>
      <c r="J9" s="9">
        <v>7000000</v>
      </c>
      <c r="K9" s="58">
        <f>Table1[[#This Row],[Số lượng]]*Table1[[#This Row],[Đơn giá]]</f>
        <v>7000000</v>
      </c>
      <c r="L9" s="138"/>
    </row>
    <row r="10" spans="1:12" x14ac:dyDescent="0.3">
      <c r="A10" s="4" t="str">
        <f>IF(Table1[[#This Row],[Số HĐ]]=BBVC!$R$2,MAX(DATA!A9:A9)+1,"")</f>
        <v/>
      </c>
      <c r="B10" s="5">
        <v>3</v>
      </c>
      <c r="C10" s="7">
        <v>46162</v>
      </c>
      <c r="D10" s="55" t="s">
        <v>91</v>
      </c>
      <c r="E10" s="5" t="str">
        <f>VLOOKUP(Table1[[#This Row],[MST]],Table2[#All],2,0)</f>
        <v>CÔNG TY TNHH THIẾT BỊ ĐO LƯỜNG VÀ GIẢI PHÁP CÔNG NGHỆ TRƯỜNG PHÁT</v>
      </c>
      <c r="F10" s="5" t="str">
        <f>VLOOKUP(Table1[[#This Row],[MST]],Table2[#All],3,0)</f>
        <v>Lô 27, Khu A1A2A3, Tổ 7, Phường Long Biên, Thành phố Hà Nội, Việt Nam</v>
      </c>
      <c r="G10" s="5" t="s">
        <v>97</v>
      </c>
      <c r="H10" s="5" t="s">
        <v>95</v>
      </c>
      <c r="I10" s="5">
        <v>1</v>
      </c>
      <c r="J10" s="9">
        <v>7500000</v>
      </c>
      <c r="K10" s="58">
        <f>Table1[[#This Row],[Số lượng]]*Table1[[#This Row],[Đơn giá]]</f>
        <v>7500000</v>
      </c>
      <c r="L10" s="138"/>
    </row>
    <row r="11" spans="1:12" x14ac:dyDescent="0.3">
      <c r="A11" s="4" t="str">
        <f>IF(Table1[[#This Row],[Số HĐ]]=BBVC!$R$2,MAX(DATA!A10:A10)+1,"")</f>
        <v/>
      </c>
      <c r="B11" s="5">
        <v>4</v>
      </c>
      <c r="C11" s="7">
        <v>46164</v>
      </c>
      <c r="D11" s="55" t="s">
        <v>113</v>
      </c>
      <c r="E11" s="5" t="str">
        <f>VLOOKUP(Table1[[#This Row],[MST]],Table2[#All],2,0)</f>
        <v>CÔNG TY TNHH TƯ VẤN KIỂM ĐỊNH VÀ THIẾT BỊ ĐO LƯỜNG</v>
      </c>
      <c r="F11" s="5" t="str">
        <f>VLOOKUP(Table1[[#This Row],[MST]],Table2[#All],3,0)</f>
        <v>Số 24 Liền kề 4, KĐT Đại Thanh, Xã Đại Thanh, Thành phố Hà Nội, Việt Nam</v>
      </c>
      <c r="G11" s="5" t="s">
        <v>127</v>
      </c>
      <c r="H11" s="5" t="s">
        <v>95</v>
      </c>
      <c r="I11" s="5">
        <v>1</v>
      </c>
      <c r="J11" s="9">
        <v>2000000</v>
      </c>
      <c r="K11" s="58">
        <f>Table1[[#This Row],[Số lượng]]*Table1[[#This Row],[Đơn giá]]</f>
        <v>2000000</v>
      </c>
      <c r="L11" s="138"/>
    </row>
    <row r="12" spans="1:12" x14ac:dyDescent="0.3">
      <c r="A12" s="4" t="str">
        <f>IF(Table1[[#This Row],[Số HĐ]]=BBVC!$R$2,MAX(DATA!A11:A11)+1,"")</f>
        <v/>
      </c>
      <c r="B12" s="5">
        <v>5</v>
      </c>
      <c r="C12" s="7">
        <v>46164</v>
      </c>
      <c r="D12" s="5">
        <v>4601654519</v>
      </c>
      <c r="E12" s="5" t="str">
        <f>VLOOKUP(Table1[[#This Row],[MST]],Table2[#All],2,0)</f>
        <v>CÔNG TY TNHH KHOA HỌC DỊCH VỤ KỸ THUẬT TÂN THỊNH PHÁT</v>
      </c>
      <c r="F12" s="5" t="str">
        <f>VLOOKUP(Table1[[#This Row],[MST]],Table2[#All],3,0)</f>
        <v>Số nhà 37, Tổ 11, Phường Tích Lương, Tỉnh Thái Nguyên, Việt Nam</v>
      </c>
      <c r="G12" s="5" t="s">
        <v>128</v>
      </c>
      <c r="H12" s="5" t="s">
        <v>95</v>
      </c>
      <c r="I12" s="5">
        <v>1</v>
      </c>
      <c r="J12" s="9">
        <v>12000000</v>
      </c>
      <c r="K12" s="58">
        <f>Table1[[#This Row],[Số lượng]]*Table1[[#This Row],[Đơn giá]]</f>
        <v>12000000</v>
      </c>
      <c r="L12" s="138"/>
    </row>
    <row r="13" spans="1:12" x14ac:dyDescent="0.3">
      <c r="A13" s="4" t="str">
        <f>IF(Table1[[#This Row],[Số HĐ]]=BBVC!$R$2,MAX(DATA!A12:A12)+1,"")</f>
        <v/>
      </c>
      <c r="B13" s="5">
        <v>6</v>
      </c>
      <c r="C13" s="7">
        <v>46164</v>
      </c>
      <c r="D13" s="55" t="s">
        <v>133</v>
      </c>
      <c r="E13" s="5" t="str">
        <f>VLOOKUP(Table1[[#This Row],[MST]],Table2[#All],2,0)</f>
        <v>CÔNG TY CỎ PHẦN DỊCH VỤ TƯ VẤN VÀ KIỂM ĐỊNH VIỆT NAM</v>
      </c>
      <c r="F13" s="5" t="str">
        <f>VLOOKUP(Table1[[#This Row],[MST]],Table2[#All],3,0)</f>
        <v>Số 84, phố Ngọc Trì, Tổ 7, Phường Long Biên, Thành phố Hà Nội, Việt Nam</v>
      </c>
      <c r="G13" s="5" t="s">
        <v>132</v>
      </c>
      <c r="H13" s="5" t="s">
        <v>95</v>
      </c>
      <c r="I13" s="5">
        <v>1</v>
      </c>
      <c r="J13" s="9">
        <v>6500000</v>
      </c>
      <c r="K13" s="58">
        <f>Table1[[#This Row],[Số lượng]]*Table1[[#This Row],[Đơn giá]]</f>
        <v>6500000</v>
      </c>
      <c r="L13" s="138"/>
    </row>
    <row r="14" spans="1:12" x14ac:dyDescent="0.3">
      <c r="A14" s="4" t="str">
        <f>IF(Table1[[#This Row],[Số HĐ]]=BBVC!$R$2,MAX(DATA!A13:A13)+1,"")</f>
        <v/>
      </c>
      <c r="B14" s="5">
        <v>7</v>
      </c>
      <c r="C14" s="7">
        <v>46165</v>
      </c>
      <c r="D14" s="55">
        <v>2500675251</v>
      </c>
      <c r="E14" s="5" t="str">
        <f>VLOOKUP(Table1[[#This Row],[MST]],Table2[#All],2,0)</f>
        <v>CÔNG TY TNHH GIẢI PHÁP CÔNG NGHỆ VINACO VIỆT NAM</v>
      </c>
      <c r="F14" s="5" t="str">
        <f>VLOOKUP(Table1[[#This Row],[MST]],Table2[#All],3,0)</f>
        <v>Thôn Vân Nội, Xã Hội Thịnh, Tỉnh Phú Thọ, Việt Nam</v>
      </c>
      <c r="G14" s="5" t="s">
        <v>136</v>
      </c>
      <c r="H14" s="5" t="s">
        <v>95</v>
      </c>
      <c r="I14" s="5">
        <v>1</v>
      </c>
      <c r="J14" s="9">
        <v>6000000</v>
      </c>
      <c r="K14" s="58">
        <f>Table1[[#This Row],[Số lượng]]*Table1[[#This Row],[Đơn giá]]</f>
        <v>6000000</v>
      </c>
      <c r="L14" s="138"/>
    </row>
    <row r="15" spans="1:12" x14ac:dyDescent="0.3">
      <c r="A15" s="4" t="str">
        <f>IF(Table1[[#This Row],[Số HĐ]]=BBVC!$R$2,MAX(DATA!A14:A14)+1,"")</f>
        <v/>
      </c>
      <c r="B15" s="5">
        <v>8</v>
      </c>
      <c r="C15" s="7">
        <v>46165</v>
      </c>
      <c r="D15" s="55" t="s">
        <v>113</v>
      </c>
      <c r="E15" s="5" t="str">
        <f>VLOOKUP(Table1[[#This Row],[MST]],Table2[#All],2,0)</f>
        <v>CÔNG TY TNHH TƯ VẤN KIỂM ĐỊNH VÀ THIẾT BỊ ĐO LƯỜNG</v>
      </c>
      <c r="F15" s="5" t="str">
        <f>VLOOKUP(Table1[[#This Row],[MST]],Table2[#All],3,0)</f>
        <v>Số 24 Liền kề 4, KĐT Đại Thanh, Xã Đại Thanh, Thành phố Hà Nội, Việt Nam</v>
      </c>
      <c r="G15" s="5" t="s">
        <v>139</v>
      </c>
      <c r="H15" s="5" t="s">
        <v>95</v>
      </c>
      <c r="I15" s="5">
        <v>1</v>
      </c>
      <c r="J15" s="9">
        <v>4000000</v>
      </c>
      <c r="K15" s="58">
        <f>Table1[[#This Row],[Số lượng]]*Table1[[#This Row],[Đơn giá]]</f>
        <v>4000000</v>
      </c>
      <c r="L15" s="138"/>
    </row>
    <row r="16" spans="1:12" x14ac:dyDescent="0.3">
      <c r="A16" s="4" t="str">
        <f>IF(Table1[[#This Row],[Số HĐ]]=BBVC!$R$2,MAX(DATA!A15:A15)+1,"")</f>
        <v/>
      </c>
      <c r="B16" s="5">
        <v>9</v>
      </c>
      <c r="C16" s="7">
        <v>46165</v>
      </c>
      <c r="D16" s="55" t="s">
        <v>157</v>
      </c>
      <c r="E16" s="5" t="str">
        <f>VLOOKUP(Table1[[#This Row],[MST]],Table2[#All],2,0)</f>
        <v>CÔNG TY TNHH  MÔI TRƯỜNG CÔNG NGHIỆP XANH</v>
      </c>
      <c r="F16" s="5" t="str">
        <f>VLOOKUP(Table1[[#This Row],[MST]],Table2[#All],3,0)</f>
        <v>Tổ Xuân Mai 1, Phường Phúc Yên, Tỉnh Phú Thọ, Việt Nam</v>
      </c>
      <c r="G16" s="5" t="s">
        <v>140</v>
      </c>
      <c r="H16" s="5" t="s">
        <v>95</v>
      </c>
      <c r="I16" s="5">
        <v>1</v>
      </c>
      <c r="J16" s="9">
        <v>3500000</v>
      </c>
      <c r="K16" s="58">
        <f>Table1[[#This Row],[Số lượng]]*Table1[[#This Row],[Đơn giá]]</f>
        <v>3500000</v>
      </c>
      <c r="L16" s="138"/>
    </row>
    <row r="17" spans="1:12" x14ac:dyDescent="0.3">
      <c r="A17" s="4">
        <f>IF(Table1[[#This Row],[Số HĐ]]=BBVC!$R$2,MAX(DATA!A16:A16)+1,"")</f>
        <v>1</v>
      </c>
      <c r="B17" s="5">
        <v>10</v>
      </c>
      <c r="C17" s="7">
        <v>46165</v>
      </c>
      <c r="D17" s="5">
        <v>2500708852</v>
      </c>
      <c r="E17" s="5" t="str">
        <f>VLOOKUP(Table1[[#This Row],[MST]],Table2[#All],2,0)</f>
        <v>CÔNG TY CỔ PHẦN TECON88</v>
      </c>
      <c r="F17" s="5" t="str">
        <f>VLOOKUP(Table1[[#This Row],[MST]],Table2[#All],3,0)</f>
        <v>Số 59 Đường Quang Trung, Phố Tiên, Phường Vĩnh Yên, Tỉnh Phú Thọ, Việt Nam</v>
      </c>
      <c r="G17" s="5" t="s">
        <v>146</v>
      </c>
      <c r="H17" s="5" t="s">
        <v>95</v>
      </c>
      <c r="I17" s="5">
        <v>1</v>
      </c>
      <c r="J17" s="9">
        <v>2000000</v>
      </c>
      <c r="K17" s="58">
        <f>Table1[[#This Row],[Số lượng]]*Table1[[#This Row],[Đơn giá]]</f>
        <v>2000000</v>
      </c>
      <c r="L17" s="138"/>
    </row>
    <row r="18" spans="1:12" x14ac:dyDescent="0.3">
      <c r="A18" s="4" t="str">
        <f>IF(Table1[[#This Row],[Số HĐ]]=BBVC!$R$2,MAX(DATA!A17:A17)+1,"")</f>
        <v/>
      </c>
      <c r="B18" s="5">
        <v>11</v>
      </c>
      <c r="C18" s="7">
        <v>46166</v>
      </c>
      <c r="D18" s="55">
        <v>2500675251</v>
      </c>
      <c r="E18" s="5" t="str">
        <f>VLOOKUP(Table1[[#This Row],[MST]],Table2[#All],2,0)</f>
        <v>CÔNG TY TNHH GIẢI PHÁP CÔNG NGHỆ VINACO VIỆT NAM</v>
      </c>
      <c r="F18" s="5" t="str">
        <f>VLOOKUP(Table1[[#This Row],[MST]],Table2[#All],3,0)</f>
        <v>Thôn Vân Nội, Xã Hội Thịnh, Tỉnh Phú Thọ, Việt Nam</v>
      </c>
      <c r="G18" s="5" t="s">
        <v>150</v>
      </c>
      <c r="H18" s="5" t="s">
        <v>95</v>
      </c>
      <c r="I18" s="5">
        <v>2</v>
      </c>
      <c r="J18" s="9">
        <v>3000000</v>
      </c>
      <c r="K18" s="58">
        <f>Table1[[#This Row],[Số lượng]]*Table1[[#This Row],[Đơn giá]]</f>
        <v>6000000</v>
      </c>
      <c r="L18" s="138"/>
    </row>
    <row r="19" spans="1:12" x14ac:dyDescent="0.3">
      <c r="A19" s="4" t="str">
        <f>IF(Table1[[#This Row],[Số HĐ]]=BBVC!$R$2,MAX(DATA!A18:A18)+1,"")</f>
        <v/>
      </c>
      <c r="B19" s="5">
        <v>12</v>
      </c>
      <c r="C19" s="7">
        <v>46167</v>
      </c>
      <c r="D19" s="55" t="s">
        <v>152</v>
      </c>
      <c r="E19" s="5" t="str">
        <f>VLOOKUP(Table1[[#This Row],[MST]],Table2[#All],2,0)</f>
        <v>CÔNG TY CỔ PHẦN XÂY DỰNG HẠ TẦNG THỊNH PHÁT</v>
      </c>
      <c r="F19" s="5" t="str">
        <f>VLOOKUP(Table1[[#This Row],[MST]],Table2[#All],3,0)</f>
        <v>Thôn Phú Mỹ, xã Chương Dương, TP. Hà Nội, Việt Nam</v>
      </c>
      <c r="G19" s="5" t="s">
        <v>151</v>
      </c>
      <c r="H19" s="5" t="s">
        <v>95</v>
      </c>
      <c r="I19" s="5">
        <v>1</v>
      </c>
      <c r="J19" s="9">
        <v>3703704</v>
      </c>
      <c r="K19" s="58">
        <f>Table1[[#This Row],[Số lượng]]*Table1[[#This Row],[Đơn giá]]</f>
        <v>3703704</v>
      </c>
      <c r="L19" s="138"/>
    </row>
    <row r="20" spans="1:12" x14ac:dyDescent="0.3">
      <c r="A20" s="4" t="str">
        <f>IF(Table1[[#This Row],[Số HĐ]]=BBVC!$R$2,MAX(DATA!A19:A19)+1,"")</f>
        <v/>
      </c>
      <c r="B20" s="5">
        <v>13</v>
      </c>
      <c r="C20" s="7">
        <v>46167</v>
      </c>
      <c r="D20" s="5">
        <v>2500598864</v>
      </c>
      <c r="E20" s="5" t="str">
        <f>VLOOKUP(Table1[[#This Row],[MST]],Table2[#All],2,0)</f>
        <v>CÔNG TY TNHH CÂN ĐIỆN TỬ THẾ HỆ MỚI</v>
      </c>
      <c r="F20" s="5" t="str">
        <f>VLOOKUP(Table1[[#This Row],[MST]],Table2[#All],3,0)</f>
        <v>Thôn Đồng Lực, Xã Hoàng An, Tỉnh Phú Thọ, Việt Nam</v>
      </c>
      <c r="G20" s="5" t="s">
        <v>158</v>
      </c>
      <c r="H20" s="5" t="s">
        <v>95</v>
      </c>
      <c r="I20" s="5">
        <v>1</v>
      </c>
      <c r="J20" s="9">
        <v>4500000</v>
      </c>
      <c r="K20" s="58">
        <f>Table1[[#This Row],[Số lượng]]*Table1[[#This Row],[Đơn giá]]</f>
        <v>4500000</v>
      </c>
      <c r="L20" s="138"/>
    </row>
    <row r="21" spans="1:12" x14ac:dyDescent="0.3">
      <c r="A21" s="4" t="str">
        <f>IF(Table1[[#This Row],[Số HĐ]]=BBVC!$R$2,MAX(DATA!A20:A20)+1,"")</f>
        <v/>
      </c>
      <c r="B21" s="5">
        <v>14</v>
      </c>
      <c r="C21" s="62">
        <v>46171</v>
      </c>
      <c r="D21" s="55" t="s">
        <v>88</v>
      </c>
      <c r="E21" s="5" t="str">
        <f>VLOOKUP(Table1[[#This Row],[MST]],Table2[#All],2,0)</f>
        <v>CÔNG TY TNHH ỨNG DỤNG GIẢI PHÁP CÔNG NGHỆ</v>
      </c>
      <c r="F21" s="5" t="str">
        <f>VLOOKUP(Table1[[#This Row],[MST]],Table2[#All],3,0)</f>
        <v>Số 100 Ngõ 40 Tạ Quang Bửu, Phường Bạch Mai, Thành phố Hà Nội, Việt Nam</v>
      </c>
      <c r="G21" s="5" t="s">
        <v>160</v>
      </c>
      <c r="H21" s="5" t="s">
        <v>95</v>
      </c>
      <c r="I21" s="5">
        <v>1</v>
      </c>
      <c r="J21" s="9">
        <v>7000000</v>
      </c>
      <c r="K21" s="58">
        <f>Table1[[#This Row],[Số lượng]]*Table1[[#This Row],[Đơn giá]]</f>
        <v>7000000</v>
      </c>
      <c r="L21" s="138"/>
    </row>
    <row r="22" spans="1:12" x14ac:dyDescent="0.3">
      <c r="A22" s="4" t="str">
        <f>IF(Table1[[#This Row],[Số HĐ]]=BBVC!$R$2,MAX(DATA!A21:A21)+1,"")</f>
        <v/>
      </c>
      <c r="B22" s="5">
        <v>15</v>
      </c>
      <c r="C22" s="62">
        <v>46171</v>
      </c>
      <c r="D22" s="5">
        <v>2500518379</v>
      </c>
      <c r="E22" s="5" t="str">
        <f>VLOOKUP(Table1[[#This Row],[MST]],Table2[#All],2,0)</f>
        <v>CÔNG TY CỔ PHẦN CÂN ĐIỆN TỬ VĨNH PHÚC</v>
      </c>
      <c r="F22" s="5" t="str">
        <f>VLOOKUP(Table1[[#This Row],[MST]],Table2[#All],3,0)</f>
        <v>Khu Lai Sơn, Phường Vĩnh Yên, Tỉnh Phú Thọ, Việt Nam</v>
      </c>
      <c r="G22" s="5" t="s">
        <v>166</v>
      </c>
      <c r="H22" s="5" t="s">
        <v>95</v>
      </c>
      <c r="I22" s="5">
        <v>1</v>
      </c>
      <c r="J22" s="9">
        <v>24000000</v>
      </c>
      <c r="K22" s="58">
        <f>Table1[[#This Row],[Số lượng]]*Table1[[#This Row],[Đơn giá]]</f>
        <v>24000000</v>
      </c>
      <c r="L22" s="138"/>
    </row>
    <row r="23" spans="1:12" x14ac:dyDescent="0.3">
      <c r="A23" s="4" t="str">
        <f>IF(Table1[[#This Row],[Số HĐ]]=BBVC!$R$2,MAX(DATA!A22:A22)+1,"")</f>
        <v/>
      </c>
      <c r="B23" s="5">
        <v>16</v>
      </c>
      <c r="C23" s="62">
        <v>46171</v>
      </c>
      <c r="D23" s="5">
        <v>2600706055</v>
      </c>
      <c r="E23" s="5" t="str">
        <f>VLOOKUP(Table1[[#This Row],[MST]],Table2[#All],2,0)</f>
        <v>TRUNG TÂM KỸ THUẬT TIÊU CHUẨN ĐO LƯỜNG CHẤT LƯỢNG</v>
      </c>
      <c r="F23" s="5" t="str">
        <f>VLOOKUP(Table1[[#This Row],[MST]],Table2[#All],3,0)</f>
        <v>Đường Kim Đồng, Phường Việt Trì, T. Phú Thọ</v>
      </c>
      <c r="G23" s="5" t="s">
        <v>167</v>
      </c>
      <c r="H23" s="5" t="s">
        <v>95</v>
      </c>
      <c r="I23" s="5">
        <v>4</v>
      </c>
      <c r="J23" s="9">
        <v>5000000</v>
      </c>
      <c r="K23" s="58">
        <f>Table1[[#This Row],[Số lượng]]*Table1[[#This Row],[Đơn giá]]</f>
        <v>20000000</v>
      </c>
      <c r="L23" s="138"/>
    </row>
    <row r="24" spans="1:12" x14ac:dyDescent="0.3">
      <c r="A24" s="4" t="str">
        <f>IF(Table1[[#This Row],[Số HĐ]]=BBVC!$R$2,MAX(DATA!A23:A23)+1,"")</f>
        <v/>
      </c>
      <c r="B24" s="5">
        <v>17</v>
      </c>
      <c r="C24" s="62">
        <v>46172</v>
      </c>
      <c r="D24" s="55" t="s">
        <v>113</v>
      </c>
      <c r="E24" s="5" t="str">
        <f>VLOOKUP(Table1[[#This Row],[MST]],Table2[#All],2,0)</f>
        <v>CÔNG TY TNHH TƯ VẤN KIỂM ĐỊNH VÀ THIẾT BỊ ĐO LƯỜNG</v>
      </c>
      <c r="F24" s="5" t="str">
        <f>VLOOKUP(Table1[[#This Row],[MST]],Table2[#All],3,0)</f>
        <v>Số 24 Liền kề 4, KĐT Đại Thanh, Xã Đại Thanh, Thành phố Hà Nội, Việt Nam</v>
      </c>
      <c r="G24" s="5" t="s">
        <v>168</v>
      </c>
      <c r="H24" s="5" t="s">
        <v>95</v>
      </c>
      <c r="I24" s="5">
        <v>1</v>
      </c>
      <c r="J24" s="9">
        <v>9000000</v>
      </c>
      <c r="K24" s="58">
        <f>Table1[[#This Row],[Số lượng]]*Table1[[#This Row],[Đơn giá]]</f>
        <v>9000000</v>
      </c>
      <c r="L24" s="138"/>
    </row>
    <row r="25" spans="1:12" x14ac:dyDescent="0.3">
      <c r="A25" s="4" t="str">
        <f>IF(Table1[[#This Row],[Số HĐ]]=BBVC!$R$2,MAX(DATA!A24:A24)+1,"")</f>
        <v/>
      </c>
      <c r="B25" s="5">
        <v>17</v>
      </c>
      <c r="C25" s="62">
        <v>46172</v>
      </c>
      <c r="D25" s="55" t="s">
        <v>113</v>
      </c>
      <c r="E25" s="63" t="str">
        <f>VLOOKUP(Table1[[#This Row],[MST]],Table2[#All],2,0)</f>
        <v>CÔNG TY TNHH TƯ VẤN KIỂM ĐỊNH VÀ THIẾT BỊ ĐO LƯỜNG</v>
      </c>
      <c r="F25" s="63" t="str">
        <f>VLOOKUP(Table1[[#This Row],[MST]],Table2[#All],3,0)</f>
        <v>Số 24 Liền kề 4, KĐT Đại Thanh, Xã Đại Thanh, Thành phố Hà Nội, Việt Nam</v>
      </c>
      <c r="G25" s="63" t="s">
        <v>169</v>
      </c>
      <c r="H25" s="63" t="s">
        <v>95</v>
      </c>
      <c r="I25" s="5">
        <v>1</v>
      </c>
      <c r="J25" s="9">
        <v>7000000</v>
      </c>
      <c r="K25" s="58">
        <f>Table1[[#This Row],[Số lượng]]*Table1[[#This Row],[Đơn giá]]</f>
        <v>7000000</v>
      </c>
      <c r="L25" s="138"/>
    </row>
    <row r="26" spans="1:12" x14ac:dyDescent="0.3">
      <c r="A26" s="4" t="str">
        <f>IF(Table1[[#This Row],[Số HĐ]]=BBVC!$R$2,MAX(DATA!A25:A25)+1,"")</f>
        <v/>
      </c>
      <c r="B26" s="5">
        <v>18</v>
      </c>
      <c r="C26" s="62">
        <v>46175</v>
      </c>
      <c r="D26" s="5">
        <v>2500763469</v>
      </c>
      <c r="E26" s="5" t="str">
        <f>VLOOKUP(Table1[[#This Row],[MST]],Table2[#All],2,0)</f>
        <v>CÔNG TY TNHH CÁT SỎI THUỶ MỘC PHÁT</v>
      </c>
      <c r="F26" s="5" t="str">
        <f>VLOOKUP(Table1[[#This Row],[MST]],Table2[#All],3,0)</f>
        <v>Thôn Nội, Xã Vĩnh An, Tỉnh Phú Thọ, Việt Nam</v>
      </c>
      <c r="G26" s="5" t="s">
        <v>170</v>
      </c>
      <c r="H26" s="5" t="s">
        <v>95</v>
      </c>
      <c r="I26" s="5">
        <v>1</v>
      </c>
      <c r="J26" s="9">
        <v>4000000</v>
      </c>
      <c r="K26" s="58">
        <f>Table1[[#This Row],[Số lượng]]*Table1[[#This Row],[Đơn giá]]</f>
        <v>4000000</v>
      </c>
      <c r="L26" s="138"/>
    </row>
    <row r="27" spans="1:12" x14ac:dyDescent="0.3">
      <c r="A27" s="64" t="str">
        <f>IF(Table1[[#This Row],[Số HĐ]]=BBVC!$R$2,MAX(DATA!A26:A26)+1,"")</f>
        <v/>
      </c>
      <c r="B27" s="5">
        <v>18</v>
      </c>
      <c r="C27" s="62">
        <v>46175</v>
      </c>
      <c r="D27" s="5">
        <v>2500763469</v>
      </c>
      <c r="E27" s="63" t="str">
        <f>VLOOKUP(Table1[[#This Row],[MST]],Table2[#All],2,0)</f>
        <v>CÔNG TY TNHH CÁT SỎI THUỶ MỘC PHÁT</v>
      </c>
      <c r="F27" s="63" t="str">
        <f>VLOOKUP(Table1[[#This Row],[MST]],Table2[#All],3,0)</f>
        <v>Thôn Nội, Xã Vĩnh An, Tỉnh Phú Thọ, Việt Nam</v>
      </c>
      <c r="G27" s="63" t="s">
        <v>171</v>
      </c>
      <c r="H27" s="63" t="s">
        <v>95</v>
      </c>
      <c r="I27" s="5">
        <v>1</v>
      </c>
      <c r="J27" s="9">
        <v>4000000</v>
      </c>
      <c r="K27" s="58">
        <f>Table1[[#This Row],[Số lượng]]*Table1[[#This Row],[Đơn giá]]</f>
        <v>4000000</v>
      </c>
      <c r="L27" s="138"/>
    </row>
    <row r="28" spans="1:12" x14ac:dyDescent="0.3">
      <c r="A28" s="4" t="str">
        <f>IF(Table1[[#This Row],[Số HĐ]]=BBVC!$R$2,MAX(DATA!A27:A27)+1,"")</f>
        <v/>
      </c>
      <c r="B28" s="5">
        <v>19</v>
      </c>
      <c r="C28" s="62">
        <v>46176</v>
      </c>
      <c r="D28" s="55" t="s">
        <v>209</v>
      </c>
      <c r="E28" s="5" t="str">
        <f>VLOOKUP(Table1[[#This Row],[MST]],Table2[#All],2,0)</f>
        <v>CÔNG TY TNHH MTV CÔNG NGHỆ ĐO LƯỜNG - ĐIỀU KHIỂN VŨ DUY</v>
      </c>
      <c r="F28" s="5" t="str">
        <f>VLOOKUP(Table1[[#This Row],[MST]],Table2[#All],3,0)</f>
        <v>K428 Tôn Đản, Phường An Khê, Thành phố Đà Nẵng, Việt Nam</v>
      </c>
      <c r="G28" s="5" t="s">
        <v>176</v>
      </c>
      <c r="H28" s="5" t="s">
        <v>95</v>
      </c>
      <c r="I28" s="5">
        <v>1</v>
      </c>
      <c r="J28" s="9">
        <v>6500000</v>
      </c>
      <c r="K28" s="58">
        <f>Table1[[#This Row],[Số lượng]]*Table1[[#This Row],[Đơn giá]]</f>
        <v>6500000</v>
      </c>
      <c r="L28" s="138"/>
    </row>
    <row r="29" spans="1:12" x14ac:dyDescent="0.3">
      <c r="A29" s="4" t="str">
        <f>IF(Table1[[#This Row],[Số HĐ]]=BBVC!$R$2,MAX(DATA!A28:A28)+1,"")</f>
        <v/>
      </c>
      <c r="B29" s="5">
        <v>20</v>
      </c>
      <c r="C29" s="62">
        <v>46176</v>
      </c>
      <c r="D29" s="5">
        <v>2500603377</v>
      </c>
      <c r="E29" s="5" t="str">
        <f>VLOOKUP(Table1[[#This Row],[MST]],Table2[#All],2,0)</f>
        <v>CÔNG TY CỔ PHẦN KIỂM ĐỊNH MKV</v>
      </c>
      <c r="F29" s="5" t="str">
        <f>VLOOKUP(Table1[[#This Row],[MST]],Table2[#All],3,0)</f>
        <v>Đường Phạm Đình Hổ, Phường Vĩnh Yên, Tỉnh Phú Thọ, Việt Nam</v>
      </c>
      <c r="G29" s="5" t="s">
        <v>210</v>
      </c>
      <c r="H29" s="5" t="s">
        <v>95</v>
      </c>
      <c r="I29" s="5">
        <v>2</v>
      </c>
      <c r="J29" s="9">
        <v>5555555</v>
      </c>
      <c r="K29" s="58">
        <f>Table1[[#This Row],[Số lượng]]*Table1[[#This Row],[Đơn giá]]+1</f>
        <v>11111111</v>
      </c>
      <c r="L29" s="138"/>
    </row>
    <row r="30" spans="1:12" x14ac:dyDescent="0.3">
      <c r="A30" s="4" t="str">
        <f>IF(Table1[[#This Row],[Số HĐ]]=BBVC!$R$2,MAX(DATA!A29:A29)+1,"")</f>
        <v/>
      </c>
      <c r="B30" s="5">
        <v>21</v>
      </c>
      <c r="C30" s="62">
        <v>46177</v>
      </c>
      <c r="D30" s="5">
        <v>2300226957</v>
      </c>
      <c r="E30" s="5" t="str">
        <f>VLOOKUP(Table1[[#This Row],[MST]],Table2[#All],2,0)</f>
        <v>CÔNG TY TNHH HƯƠNG GIA VỊ SƠN HÀ</v>
      </c>
      <c r="F30" s="5" t="str">
        <f>VLOOKUP(Table1[[#This Row],[MST]],Table2[#All],3,0)</f>
        <v>Phố Quế, Cụm Công nghiệp Đa nghề Đình Bảng, Phường Từ Sơn, Tỉnh Bắc Ninh, Việt Nam</v>
      </c>
      <c r="G30" s="5" t="s">
        <v>224</v>
      </c>
      <c r="H30" s="5" t="s">
        <v>95</v>
      </c>
      <c r="I30" s="5">
        <v>2</v>
      </c>
      <c r="J30" s="9">
        <v>1500000</v>
      </c>
      <c r="K30" s="58">
        <f>Table1[[#This Row],[Số lượng]]*Table1[[#This Row],[Đơn giá]]</f>
        <v>3000000</v>
      </c>
      <c r="L30" s="138"/>
    </row>
    <row r="31" spans="1:12" x14ac:dyDescent="0.3">
      <c r="A31" s="4" t="str">
        <f>IF(Table1[[#This Row],[Số HĐ]]=BBVC!$R$2,MAX(DATA!A30:A30)+1,"")</f>
        <v/>
      </c>
      <c r="B31" s="5">
        <v>22</v>
      </c>
      <c r="C31" s="62">
        <v>46177</v>
      </c>
      <c r="D31" s="5">
        <v>2500598864</v>
      </c>
      <c r="E31" s="5" t="str">
        <f>VLOOKUP(Table1[[#This Row],[MST]],Table2[#All],2,0)</f>
        <v>CÔNG TY TNHH CÂN ĐIỆN TỬ THẾ HỆ MỚI</v>
      </c>
      <c r="F31" s="5" t="str">
        <f>VLOOKUP(Table1[[#This Row],[MST]],Table2[#All],3,0)</f>
        <v>Thôn Đồng Lực, Xã Hoàng An, Tỉnh Phú Thọ, Việt Nam</v>
      </c>
      <c r="G31" s="78" t="s">
        <v>227</v>
      </c>
      <c r="H31" s="78" t="s">
        <v>95</v>
      </c>
      <c r="I31" s="79">
        <v>1</v>
      </c>
      <c r="J31" s="80">
        <v>4500000</v>
      </c>
      <c r="K31" s="58">
        <f>Table1[[#This Row],[Số lượng]]*Table1[[#This Row],[Đơn giá]]</f>
        <v>4500000</v>
      </c>
      <c r="L31" s="138"/>
    </row>
    <row r="32" spans="1:12" x14ac:dyDescent="0.3">
      <c r="A32" s="4" t="str">
        <f>IF(Table1[[#This Row],[Số HĐ]]=BBVC!$R$2,MAX(DATA!A31:A31)+1,"")</f>
        <v/>
      </c>
      <c r="B32" s="5">
        <v>23</v>
      </c>
      <c r="C32" s="62">
        <v>46178</v>
      </c>
      <c r="D32" s="55" t="s">
        <v>113</v>
      </c>
      <c r="E32" s="5" t="str">
        <f>VLOOKUP(Table1[[#This Row],[MST]],Table2[#All],2,0)</f>
        <v>CÔNG TY TNHH TƯ VẤN KIỂM ĐỊNH VÀ THIẾT BỊ ĐO LƯỜNG</v>
      </c>
      <c r="F32" s="5" t="str">
        <f>VLOOKUP(Table1[[#This Row],[MST]],Table2[#All],3,0)</f>
        <v>Số 24 Liền kề 4, KĐT Đại Thanh, Xã Đại Thanh, Thành phố Hà Nội, Việt Nam</v>
      </c>
      <c r="G32" s="5" t="s">
        <v>228</v>
      </c>
      <c r="H32" s="5" t="s">
        <v>95</v>
      </c>
      <c r="I32" s="5">
        <v>1</v>
      </c>
      <c r="J32" s="9">
        <v>11000000</v>
      </c>
      <c r="K32" s="58">
        <f>Table1[[#This Row],[Số lượng]]*Table1[[#This Row],[Đơn giá]]</f>
        <v>11000000</v>
      </c>
      <c r="L32" s="138"/>
    </row>
    <row r="33" spans="1:12" x14ac:dyDescent="0.3">
      <c r="A33" s="4" t="str">
        <f>IF(Table1[[#This Row],[Số HĐ]]=BBVC!$R$2,MAX(DATA!A32:A32)+1,"")</f>
        <v/>
      </c>
      <c r="B33" s="5">
        <v>24</v>
      </c>
      <c r="C33" s="62">
        <v>46179</v>
      </c>
      <c r="D33" s="55">
        <v>2500675251</v>
      </c>
      <c r="E33" s="5" t="str">
        <f>VLOOKUP(Table1[[#This Row],[MST]],Table2[#All],2,0)</f>
        <v>CÔNG TY TNHH GIẢI PHÁP CÔNG NGHỆ VINACO VIỆT NAM</v>
      </c>
      <c r="F33" s="5" t="str">
        <f>VLOOKUP(Table1[[#This Row],[MST]],Table2[#All],3,0)</f>
        <v>Thôn Vân Nội, Xã Hội Thịnh, Tỉnh Phú Thọ, Việt Nam</v>
      </c>
      <c r="G33" s="5" t="s">
        <v>150</v>
      </c>
      <c r="H33" s="5" t="s">
        <v>95</v>
      </c>
      <c r="I33" s="5">
        <v>1</v>
      </c>
      <c r="J33" s="9">
        <v>3000000</v>
      </c>
      <c r="K33" s="58">
        <f>Table1[[#This Row],[Số lượng]]*Table1[[#This Row],[Đơn giá]]</f>
        <v>3000000</v>
      </c>
      <c r="L33" s="138"/>
    </row>
    <row r="34" spans="1:12" x14ac:dyDescent="0.3">
      <c r="A34" s="4" t="str">
        <f>IF(Table1[[#This Row],[Số HĐ]]=BBVC!$R$2,MAX(DATA!A33:A33)+1,"")</f>
        <v/>
      </c>
      <c r="B34" s="5">
        <v>25</v>
      </c>
      <c r="C34" s="62">
        <v>46181</v>
      </c>
      <c r="D34" s="55" t="s">
        <v>234</v>
      </c>
      <c r="E34" s="5" t="str">
        <f>VLOOKUP(Table1[[#This Row],[MST]],Table2[#All],2,0)</f>
        <v>CÔNG TY TNHH SẢN XUẤT CÔNG NGHỆ TÂN NAM PHÁT</v>
      </c>
      <c r="F34" s="5" t="str">
        <f>VLOOKUP(Table1[[#This Row],[MST]],Table2[#All],3,0)</f>
        <v>Số 45B2 ngõ 649 đường Lĩnh Nam, Phường Vĩnh Hưng, Thành phố Hà Nội</v>
      </c>
      <c r="G34" s="5" t="s">
        <v>232</v>
      </c>
      <c r="H34" s="5" t="s">
        <v>95</v>
      </c>
      <c r="I34" s="5">
        <v>1</v>
      </c>
      <c r="J34" s="9">
        <v>4500000</v>
      </c>
      <c r="K34" s="58">
        <f>Table1[[#This Row],[Số lượng]]*Table1[[#This Row],[Đơn giá]]</f>
        <v>4500000</v>
      </c>
      <c r="L34" s="138"/>
    </row>
    <row r="35" spans="1:12" x14ac:dyDescent="0.3">
      <c r="A35" s="64" t="str">
        <f>IF(Table1[[#This Row],[Số HĐ]]=BBVC!$R$2,MAX(DATA!A34:A34)+1,"")</f>
        <v/>
      </c>
      <c r="B35" s="5">
        <v>25</v>
      </c>
      <c r="C35" s="62">
        <v>46181</v>
      </c>
      <c r="D35" s="55" t="s">
        <v>234</v>
      </c>
      <c r="E35" s="63" t="str">
        <f>VLOOKUP(Table1[[#This Row],[MST]],Table2[#All],2,0)</f>
        <v>CÔNG TY TNHH SẢN XUẤT CÔNG NGHỆ TÂN NAM PHÁT</v>
      </c>
      <c r="F35" s="63" t="str">
        <f>VLOOKUP(Table1[[#This Row],[MST]],Table2[#All],3,0)</f>
        <v>Số 45B2 ngõ 649 đường Lĩnh Nam, Phường Vĩnh Hưng, Thành phố Hà Nội</v>
      </c>
      <c r="G35" s="63" t="s">
        <v>233</v>
      </c>
      <c r="H35" s="63" t="s">
        <v>95</v>
      </c>
      <c r="I35" s="5">
        <v>1</v>
      </c>
      <c r="J35" s="9">
        <v>5000000</v>
      </c>
      <c r="K35" s="58">
        <f>Table1[[#This Row],[Số lượng]]*Table1[[#This Row],[Đơn giá]]</f>
        <v>5000000</v>
      </c>
      <c r="L35" s="138"/>
    </row>
    <row r="36" spans="1:12" x14ac:dyDescent="0.3">
      <c r="A36" s="4" t="str">
        <f>IF(Table1[[#This Row],[Số HĐ]]=BBVC!$R$2,MAX(DATA!A35:A35)+1,"")</f>
        <v/>
      </c>
      <c r="B36" s="5">
        <v>26</v>
      </c>
      <c r="C36" s="62">
        <v>46182</v>
      </c>
      <c r="D36" s="55" t="s">
        <v>239</v>
      </c>
      <c r="E36" s="5" t="str">
        <f>VLOOKUP(Table1[[#This Row],[MST]],Table2[#All],2,0)</f>
        <v xml:space="preserve">CÔNG TY TNHH TM VÀ DỊCH VỤ TỰ ĐỘNG HÓA THÀNH CÔNG </v>
      </c>
      <c r="F36" s="5" t="str">
        <f>VLOOKUP(Table1[[#This Row],[MST]],Table2[#All],3,0)</f>
        <v>Thửa đất số 171CBĐ 03, Tổ 5 Phường Yên Nghĩa, Thành Phố Hà Nội</v>
      </c>
      <c r="G36" s="5" t="s">
        <v>237</v>
      </c>
      <c r="H36" s="5" t="s">
        <v>95</v>
      </c>
      <c r="I36" s="5">
        <v>1</v>
      </c>
      <c r="J36" s="9">
        <v>3000000</v>
      </c>
      <c r="K36" s="58">
        <f>Table1[[#This Row],[Số lượng]]*Table1[[#This Row],[Đơn giá]]</f>
        <v>3000000</v>
      </c>
      <c r="L36" s="138"/>
    </row>
    <row r="37" spans="1:12" x14ac:dyDescent="0.3">
      <c r="A37" s="64" t="str">
        <f>IF(Table1[[#This Row],[Số HĐ]]=BBVC!$R$2,MAX(DATA!A36:A36)+1,"")</f>
        <v/>
      </c>
      <c r="B37" s="5">
        <v>26</v>
      </c>
      <c r="C37" s="62">
        <v>46182</v>
      </c>
      <c r="D37" s="55" t="s">
        <v>239</v>
      </c>
      <c r="E37" s="63" t="str">
        <f>VLOOKUP(Table1[[#This Row],[MST]],Table2[#All],2,0)</f>
        <v xml:space="preserve">CÔNG TY TNHH TM VÀ DỊCH VỤ TỰ ĐỘNG HÓA THÀNH CÔNG </v>
      </c>
      <c r="F37" s="63" t="str">
        <f>VLOOKUP(Table1[[#This Row],[MST]],Table2[#All],3,0)</f>
        <v>Thửa đất số 171CBĐ 03, Tổ 5 Phường Yên Nghĩa, Thành Phố Hà Nội</v>
      </c>
      <c r="G37" s="63" t="s">
        <v>238</v>
      </c>
      <c r="H37" s="63" t="s">
        <v>95</v>
      </c>
      <c r="I37" s="5">
        <v>1</v>
      </c>
      <c r="J37" s="9">
        <v>3000000</v>
      </c>
      <c r="K37" s="58">
        <f>Table1[[#This Row],[Số lượng]]*Table1[[#This Row],[Đơn giá]]</f>
        <v>3000000</v>
      </c>
      <c r="L37" s="138"/>
    </row>
    <row r="38" spans="1:12" x14ac:dyDescent="0.3">
      <c r="A38" s="4" t="str">
        <f>IF(Table1[[#This Row],[Số HĐ]]=BBVC!$R$2,MAX(DATA!A37:A37)+1,"")</f>
        <v/>
      </c>
      <c r="B38" s="5">
        <v>27</v>
      </c>
      <c r="C38" s="62">
        <v>46183</v>
      </c>
      <c r="D38" s="5">
        <v>2500561310</v>
      </c>
      <c r="E38" s="5" t="str">
        <f>VLOOKUP(Table1[[#This Row],[MST]],Table2[#All],2,0)</f>
        <v>CÔNG TY TNHH MỘT THÀNH VIÊN CÂN ĐIỆN TỬ VĨNH PHÚC</v>
      </c>
      <c r="F38" s="5" t="str">
        <f>VLOOKUP(Table1[[#This Row],[MST]],Table2[#All],3,0)</f>
        <v>Số nhà 25, Tổ dân phố Đậu, Phường Vĩnh Phúc, Tỉnh Phú Thọ, Việt Nam</v>
      </c>
      <c r="G38" s="5" t="s">
        <v>244</v>
      </c>
      <c r="H38" s="5" t="s">
        <v>95</v>
      </c>
      <c r="I38" s="5">
        <v>1</v>
      </c>
      <c r="J38" s="9">
        <v>5555555</v>
      </c>
      <c r="K38" s="58">
        <f>Table1[[#This Row],[Số lượng]]*Table1[[#This Row],[Đơn giá]]</f>
        <v>5555555</v>
      </c>
      <c r="L38" s="138"/>
    </row>
    <row r="39" spans="1:12" x14ac:dyDescent="0.3">
      <c r="A39" s="4" t="str">
        <f>IF(Table1[[#This Row],[Số HĐ]]=BBVC!$R$2,MAX(DATA!A38:A38)+1,"")</f>
        <v/>
      </c>
      <c r="B39" s="5">
        <v>28</v>
      </c>
      <c r="C39" s="62">
        <v>46188</v>
      </c>
      <c r="D39" s="55" t="s">
        <v>283</v>
      </c>
      <c r="E39" s="5" t="str">
        <f>VLOOKUP(Table1[[#This Row],[MST]],Table2[#All],2,0)</f>
        <v>CÔNG TY TNHH THIẾT BỊ ĐO LƯỜNG VÀ CÔNG NGHIỆP 247</v>
      </c>
      <c r="F39" s="5" t="str">
        <f>VLOOKUP(Table1[[#This Row],[MST]],Table2[#All],3,0)</f>
        <v>Số 5, Ngõ 254, Đường Mỹ Đình, Phường Từ Liêm, Thành phố Hà Nội, Việt Nam</v>
      </c>
      <c r="G39" s="5" t="s">
        <v>282</v>
      </c>
      <c r="H39" s="5" t="s">
        <v>95</v>
      </c>
      <c r="I39" s="5">
        <v>1</v>
      </c>
      <c r="J39" s="9">
        <v>4500000</v>
      </c>
      <c r="K39" s="58">
        <f>Table1[[#This Row],[Số lượng]]*Table1[[#This Row],[Đơn giá]]</f>
        <v>4500000</v>
      </c>
      <c r="L39" s="138"/>
    </row>
    <row r="40" spans="1:12" x14ac:dyDescent="0.3">
      <c r="A40" s="4" t="str">
        <f>IF(Table1[[#This Row],[Số HĐ]]=BBVC!$R$2,MAX(DATA!A39:A39)+1,"")</f>
        <v/>
      </c>
      <c r="B40" s="5">
        <v>29</v>
      </c>
      <c r="C40" s="62">
        <v>46189</v>
      </c>
      <c r="D40" s="55" t="s">
        <v>239</v>
      </c>
      <c r="E40" s="5" t="str">
        <f>VLOOKUP(Table1[[#This Row],[MST]],Table2[#All],2,0)</f>
        <v xml:space="preserve">CÔNG TY TNHH TM VÀ DỊCH VỤ TỰ ĐỘNG HÓA THÀNH CÔNG </v>
      </c>
      <c r="F40" s="5" t="str">
        <f>VLOOKUP(Table1[[#This Row],[MST]],Table2[#All],3,0)</f>
        <v>Thửa đất số 171CBĐ 03, Tổ 5 Phường Yên Nghĩa, Thành Phố Hà Nội</v>
      </c>
      <c r="G40" s="5" t="s">
        <v>281</v>
      </c>
      <c r="H40" s="5" t="s">
        <v>95</v>
      </c>
      <c r="I40" s="5">
        <v>1</v>
      </c>
      <c r="J40" s="9">
        <v>16000000</v>
      </c>
      <c r="K40" s="58">
        <f>Table1[[#This Row],[Số lượng]]*Table1[[#This Row],[Đơn giá]]</f>
        <v>16000000</v>
      </c>
      <c r="L40" s="138"/>
    </row>
    <row r="41" spans="1:12" x14ac:dyDescent="0.3">
      <c r="A41" s="4" t="str">
        <f>IF(Table1[[#This Row],[Số HĐ]]=BBVC!$R$2,MAX(DATA!A40:A40)+1,"")</f>
        <v/>
      </c>
      <c r="B41" s="5">
        <v>30</v>
      </c>
      <c r="C41" s="62">
        <v>46191</v>
      </c>
      <c r="D41" s="5">
        <v>2500649903</v>
      </c>
      <c r="E41" s="5" t="str">
        <f>VLOOKUP(Table1[[#This Row],[MST]],Table2[#All],2,0)</f>
        <v>CÔNG TY TNHH H2Y VINA</v>
      </c>
      <c r="F41" s="5" t="str">
        <f>VLOOKUP(Table1[[#This Row],[MST]],Table2[#All],3,0)</f>
        <v>Khu đô thị Đồng Sơn, tổ 9, Phường Phúc Yên, Tỉnh Phú Thọ, Việt Nam</v>
      </c>
      <c r="G41" s="5" t="s">
        <v>288</v>
      </c>
      <c r="H41" s="5" t="s">
        <v>95</v>
      </c>
      <c r="I41" s="5">
        <v>1</v>
      </c>
      <c r="J41" s="9">
        <v>4629630</v>
      </c>
      <c r="K41" s="58">
        <f>Table1[[#This Row],[Số lượng]]*Table1[[#This Row],[Đơn giá]]</f>
        <v>4629630</v>
      </c>
      <c r="L41" s="138"/>
    </row>
    <row r="42" spans="1:12" x14ac:dyDescent="0.3">
      <c r="A42" s="4" t="str">
        <f>IF(Table1[[#This Row],[Số HĐ]]=BBVC!$R$2,MAX(DATA!A41:A41)+1,"")</f>
        <v/>
      </c>
      <c r="B42" s="5">
        <v>31</v>
      </c>
      <c r="C42" s="62">
        <v>46194</v>
      </c>
      <c r="D42" s="5">
        <v>2500675251</v>
      </c>
      <c r="E42" s="5" t="str">
        <f>VLOOKUP(Table1[[#This Row],[MST]],Table2[#All],2,0)</f>
        <v>CÔNG TY TNHH GIẢI PHÁP CÔNG NGHỆ VINACO VIỆT NAM</v>
      </c>
      <c r="F42" s="5" t="str">
        <f>VLOOKUP(Table1[[#This Row],[MST]],Table2[#All],3,0)</f>
        <v>Thôn Vân Nội, Xã Hội Thịnh, Tỉnh Phú Thọ, Việt Nam</v>
      </c>
      <c r="G42" s="5" t="s">
        <v>291</v>
      </c>
      <c r="H42" s="5" t="s">
        <v>292</v>
      </c>
      <c r="I42" s="5">
        <v>1</v>
      </c>
      <c r="J42" s="9">
        <v>3500000</v>
      </c>
      <c r="K42" s="58">
        <f>Table1[[#This Row],[Số lượng]]*Table1[[#This Row],[Đơn giá]]</f>
        <v>3500000</v>
      </c>
      <c r="L42" s="138"/>
    </row>
    <row r="43" spans="1:12" x14ac:dyDescent="0.3">
      <c r="A43" s="4" t="str">
        <f>IF(Table1[[#This Row],[Số HĐ]]=BBVC!$R$2,MAX(DATA!A42:A42)+1,"")</f>
        <v/>
      </c>
      <c r="B43" s="5">
        <v>32</v>
      </c>
      <c r="C43" s="62">
        <v>46195</v>
      </c>
      <c r="D43" s="55" t="s">
        <v>283</v>
      </c>
      <c r="E43" s="5" t="str">
        <f>VLOOKUP(Table1[[#This Row],[MST]],Table2[#All],2,0)</f>
        <v>CÔNG TY TNHH THIẾT BỊ ĐO LƯỜNG VÀ CÔNG NGHIỆP 247</v>
      </c>
      <c r="F43" s="5" t="str">
        <f>VLOOKUP(Table1[[#This Row],[MST]],Table2[#All],3,0)</f>
        <v>Số 5, Ngõ 254, Đường Mỹ Đình, Phường Từ Liêm, Thành phố Hà Nội, Việt Nam</v>
      </c>
      <c r="G43" s="5" t="s">
        <v>293</v>
      </c>
      <c r="H43" s="5" t="s">
        <v>95</v>
      </c>
      <c r="I43" s="5">
        <v>1</v>
      </c>
      <c r="J43" s="9">
        <v>2500000</v>
      </c>
      <c r="K43" s="58">
        <f>Table1[[#This Row],[Số lượng]]*Table1[[#This Row],[Đơn giá]]</f>
        <v>2500000</v>
      </c>
      <c r="L43" s="138"/>
    </row>
    <row r="44" spans="1:12" x14ac:dyDescent="0.3">
      <c r="A44" s="4" t="str">
        <f>IF(Table1[[#This Row],[Số HĐ]]=BBVC!$R$2,MAX(DATA!A43:A43)+1,"")</f>
        <v/>
      </c>
      <c r="B44" s="5">
        <v>33</v>
      </c>
      <c r="C44" s="62">
        <v>46196</v>
      </c>
      <c r="D44" s="5">
        <v>2500675251</v>
      </c>
      <c r="E44" s="5" t="str">
        <f>VLOOKUP(Table1[[#This Row],[MST]],Table2[#All],2,0)</f>
        <v>CÔNG TY TNHH GIẢI PHÁP CÔNG NGHỆ VINACO VIỆT NAM</v>
      </c>
      <c r="F44" s="5" t="str">
        <f>VLOOKUP(Table1[[#This Row],[MST]],Table2[#All],3,0)</f>
        <v>Thôn Vân Nội, Xã Hội Thịnh, Tỉnh Phú Thọ, Việt Nam</v>
      </c>
      <c r="G44" s="5" t="s">
        <v>150</v>
      </c>
      <c r="H44" s="5" t="s">
        <v>95</v>
      </c>
      <c r="I44" s="5">
        <v>1</v>
      </c>
      <c r="J44" s="9">
        <v>2000000</v>
      </c>
      <c r="K44" s="58">
        <f>Table1[[#This Row],[Số lượng]]*Table1[[#This Row],[Đơn giá]]</f>
        <v>2000000</v>
      </c>
      <c r="L44" s="138"/>
    </row>
    <row r="45" spans="1:12" x14ac:dyDescent="0.3">
      <c r="A45" s="4" t="str">
        <f>IF(Table1[[#This Row],[Số HĐ]]=BBVC!$R$2,MAX(DATA!A44:A44)+1,"")</f>
        <v/>
      </c>
      <c r="B45" s="5">
        <v>34</v>
      </c>
      <c r="C45" s="62">
        <v>46197</v>
      </c>
      <c r="D45" s="55" t="s">
        <v>133</v>
      </c>
      <c r="E45" s="5" t="str">
        <f>VLOOKUP(Table1[[#This Row],[MST]],Table2[#All],2,0)</f>
        <v>CÔNG TY CỎ PHẦN DỊCH VỤ TƯ VẤN VÀ KIỂM ĐỊNH VIỆT NAM</v>
      </c>
      <c r="F45" s="5" t="str">
        <f>VLOOKUP(Table1[[#This Row],[MST]],Table2[#All],3,0)</f>
        <v>Số 84, phố Ngọc Trì, Tổ 7, Phường Long Biên, Thành phố Hà Nội, Việt Nam</v>
      </c>
      <c r="G45" s="5" t="s">
        <v>295</v>
      </c>
      <c r="H45" s="5" t="s">
        <v>95</v>
      </c>
      <c r="I45" s="5">
        <v>1</v>
      </c>
      <c r="J45" s="9">
        <v>5500000</v>
      </c>
      <c r="K45" s="58">
        <f>Table1[[#This Row],[Số lượng]]*Table1[[#This Row],[Đơn giá]]</f>
        <v>5500000</v>
      </c>
      <c r="L45" s="138"/>
    </row>
    <row r="46" spans="1:12" x14ac:dyDescent="0.3">
      <c r="A46" s="4" t="str">
        <f>IF(Table1[[#This Row],[Số HĐ]]=BBVC!$R$2,MAX(DATA!A45:A45)+1,"")</f>
        <v/>
      </c>
      <c r="B46" s="5">
        <v>35</v>
      </c>
      <c r="C46" s="62">
        <v>46197</v>
      </c>
      <c r="D46" s="5">
        <v>2500449799</v>
      </c>
      <c r="E46" s="5" t="str">
        <f>VLOOKUP(Table1[[#This Row],[MST]],Table2[#All],2,0)</f>
        <v>CÔNG TY TNHH CÔNG NGHỆ VÀ DỊCH VỤ VIETLIFE</v>
      </c>
      <c r="F46" s="5" t="str">
        <f>VLOOKUP(Table1[[#This Row],[MST]],Table2[#All],3,0)</f>
        <v>Số nhà 04, Ngõ 04, Phố Chiền, Phường Vĩnh Phúc, Tỉnh Phú Thọ, Việt Nam</v>
      </c>
      <c r="G46" s="5" t="s">
        <v>296</v>
      </c>
      <c r="H46" s="5" t="s">
        <v>95</v>
      </c>
      <c r="I46" s="5">
        <v>1</v>
      </c>
      <c r="J46" s="9">
        <v>17000000</v>
      </c>
      <c r="K46" s="58">
        <f>Table1[[#This Row],[Số lượng]]*Table1[[#This Row],[Đơn giá]]</f>
        <v>17000000</v>
      </c>
      <c r="L46" s="138"/>
    </row>
    <row r="47" spans="1:12" x14ac:dyDescent="0.3">
      <c r="A47" s="4" t="str">
        <f>IF(Table1[[#This Row],[Số HĐ]]=BBVC!$R$2,MAX(DATA!A46:A46)+1,"")</f>
        <v/>
      </c>
      <c r="B47" s="5">
        <v>36</v>
      </c>
      <c r="C47" s="62">
        <v>46199</v>
      </c>
      <c r="D47" s="55" t="s">
        <v>91</v>
      </c>
      <c r="E47" s="5" t="str">
        <f>VLOOKUP(Table1[[#This Row],[MST]],Table2[#All],2,0)</f>
        <v>CÔNG TY TNHH THIẾT BỊ ĐO LƯỜNG VÀ GIẢI PHÁP CÔNG NGHỆ TRƯỜNG PHÁT</v>
      </c>
      <c r="F47" s="5" t="str">
        <f>VLOOKUP(Table1[[#This Row],[MST]],Table2[#All],3,0)</f>
        <v>Lô 27, Khu A1A2A3, Tổ 7, Phường Long Biên, Thành phố Hà Nội, Việt Nam</v>
      </c>
      <c r="G47" s="2" t="s">
        <v>294</v>
      </c>
      <c r="H47" s="2" t="s">
        <v>95</v>
      </c>
      <c r="I47" s="2">
        <v>1</v>
      </c>
      <c r="J47" s="9">
        <v>11000000</v>
      </c>
      <c r="K47" s="58">
        <f>Table1[[#This Row],[Số lượng]]*Table1[[#This Row],[Đơn giá]]</f>
        <v>11000000</v>
      </c>
      <c r="L47" s="138"/>
    </row>
    <row r="48" spans="1:12" x14ac:dyDescent="0.3">
      <c r="A48" s="4" t="str">
        <f>IF(Table1[[#This Row],[Số HĐ]]=BBVC!$R$2,MAX(DATA!A47:A47)+1,"")</f>
        <v/>
      </c>
      <c r="B48" s="5">
        <v>37</v>
      </c>
      <c r="C48" s="62">
        <v>46202</v>
      </c>
      <c r="D48" s="5">
        <v>2600706055</v>
      </c>
      <c r="E48" s="5" t="str">
        <f>VLOOKUP(Table1[[#This Row],[MST]],Table2[#All],2,0)</f>
        <v>TRUNG TÂM KỸ THUẬT TIÊU CHUẨN ĐO LƯỜNG CHẤT LƯỢNG</v>
      </c>
      <c r="F48" s="5" t="str">
        <f>VLOOKUP(Table1[[#This Row],[MST]],Table2[#All],3,0)</f>
        <v>Đường Kim Đồng, Phường Việt Trì, T. Phú Thọ</v>
      </c>
      <c r="G48" s="5" t="s">
        <v>299</v>
      </c>
      <c r="H48" s="5" t="s">
        <v>95</v>
      </c>
      <c r="I48" s="5">
        <v>1</v>
      </c>
      <c r="J48" s="9">
        <v>10000000</v>
      </c>
      <c r="K48" s="58">
        <f>Table1[[#This Row],[Số lượng]]*Table1[[#This Row],[Đơn giá]]</f>
        <v>10000000</v>
      </c>
      <c r="L48" s="138"/>
    </row>
    <row r="49" spans="1:12" x14ac:dyDescent="0.3">
      <c r="A49" s="4" t="str">
        <f>IF(Table1[[#This Row],[Số HĐ]]=BBVC!$R$2,MAX(DATA!A48:A48)+1,"")</f>
        <v/>
      </c>
      <c r="B49" s="5">
        <v>38</v>
      </c>
      <c r="C49" s="62">
        <v>46205</v>
      </c>
      <c r="D49" s="5">
        <v>2500675251</v>
      </c>
      <c r="E49" s="5" t="str">
        <f>VLOOKUP(Table1[[#This Row],[MST]],Table2[#All],2,0)</f>
        <v>CÔNG TY TNHH GIẢI PHÁP CÔNG NGHỆ VINACO VIỆT NAM</v>
      </c>
      <c r="F49" s="5" t="str">
        <f>VLOOKUP(Table1[[#This Row],[MST]],Table2[#All],3,0)</f>
        <v>Thôn Vân Nội, Xã Hội Thịnh, Tỉnh Phú Thọ, Việt Nam</v>
      </c>
      <c r="G49" s="5" t="s">
        <v>329</v>
      </c>
      <c r="H49" s="2" t="s">
        <v>95</v>
      </c>
      <c r="I49" s="2">
        <v>1</v>
      </c>
      <c r="J49" s="9">
        <v>3000000</v>
      </c>
      <c r="K49" s="58">
        <f>Table1[[#This Row],[Số lượng]]*Table1[[#This Row],[Đơn giá]]</f>
        <v>3000000</v>
      </c>
      <c r="L49" s="138"/>
    </row>
    <row r="50" spans="1:12" x14ac:dyDescent="0.3">
      <c r="A50" s="4" t="str">
        <f>IF(Table1[[#This Row],[Số HĐ]]=BBVC!$R$2,MAX(DATA!A49:A49)+1,"")</f>
        <v/>
      </c>
      <c r="B50" s="5">
        <v>39</v>
      </c>
      <c r="C50" s="62">
        <v>46205</v>
      </c>
      <c r="D50" s="55" t="s">
        <v>300</v>
      </c>
      <c r="E50" s="5" t="str">
        <f>VLOOKUP(Table1[[#This Row],[MST]],Table2[#All],2,0)</f>
        <v>CÔNG TY TNHH ĐO LƯỜNG, ĐIỀU KHIỂN VÀ GIÁM SÁT THÁI BÌNH</v>
      </c>
      <c r="F50" s="5" t="str">
        <f>VLOOKUP(Table1[[#This Row],[MST]],Table2[#All],3,0)</f>
        <v>Số 55, Ngõ 89, phố Bùi Huy Bích, Phường Hoàng Mai, Thành phố Hà Nội, Việt Nam</v>
      </c>
      <c r="G50" s="5" t="s">
        <v>330</v>
      </c>
      <c r="H50" s="5" t="s">
        <v>95</v>
      </c>
      <c r="I50" s="5">
        <v>1</v>
      </c>
      <c r="J50" s="9">
        <v>5000000</v>
      </c>
      <c r="K50" s="58">
        <f>Table1[[#This Row],[Số lượng]]*Table1[[#This Row],[Đơn giá]]</f>
        <v>5000000</v>
      </c>
      <c r="L50" s="138"/>
    </row>
    <row r="51" spans="1:12" x14ac:dyDescent="0.3">
      <c r="A51" s="4" t="str">
        <f>IF(Table1[[#This Row],[Số HĐ]]=BBVC!$R$2,MAX(DATA!A50:A50)+1,"")</f>
        <v/>
      </c>
      <c r="B51" s="5">
        <v>40</v>
      </c>
      <c r="C51" s="62">
        <v>46209</v>
      </c>
      <c r="D51" s="55" t="s">
        <v>91</v>
      </c>
      <c r="E51" s="5" t="str">
        <f>VLOOKUP(Table1[[#This Row],[MST]],Table2[#All],2,0)</f>
        <v>CÔNG TY TNHH THIẾT BỊ ĐO LƯỜNG VÀ GIẢI PHÁP CÔNG NGHỆ TRƯỜNG PHÁT</v>
      </c>
      <c r="F51" s="5" t="str">
        <f>VLOOKUP(Table1[[#This Row],[MST]],Table2[#All],3,0)</f>
        <v>Lô 27, Khu A1A2A3, Tổ 7, Phường Long Biên, Thành phố Hà Nội, Việt Nam</v>
      </c>
      <c r="G51" s="5" t="s">
        <v>303</v>
      </c>
      <c r="H51" s="5" t="s">
        <v>95</v>
      </c>
      <c r="I51" s="5">
        <v>1</v>
      </c>
      <c r="J51" s="9">
        <v>4950000</v>
      </c>
      <c r="K51" s="58">
        <f>Table1[[#This Row],[Số lượng]]*Table1[[#This Row],[Đơn giá]]</f>
        <v>4950000</v>
      </c>
      <c r="L51" s="138"/>
    </row>
    <row r="52" spans="1:12" x14ac:dyDescent="0.3">
      <c r="A52" s="4" t="str">
        <f>IF(Table1[[#This Row],[Số HĐ]]=BBVC!$R$2,MAX(DATA!A51:A51)+1,"")</f>
        <v/>
      </c>
      <c r="B52" s="5">
        <v>41</v>
      </c>
      <c r="C52" s="62">
        <v>46209</v>
      </c>
      <c r="D52" s="5">
        <v>2500598864</v>
      </c>
      <c r="E52" s="5" t="str">
        <f>VLOOKUP(Table1[[#This Row],[MST]],Table2[#All],2,0)</f>
        <v>CÔNG TY TNHH CÂN ĐIỆN TỬ THẾ HỆ MỚI</v>
      </c>
      <c r="F52" s="5" t="str">
        <f>VLOOKUP(Table1[[#This Row],[MST]],Table2[#All],3,0)</f>
        <v>Thôn Đồng Lực, Xã Hoàng An, Tỉnh Phú Thọ, Việt Nam</v>
      </c>
      <c r="G52" s="5" t="s">
        <v>304</v>
      </c>
      <c r="H52" s="5" t="s">
        <v>95</v>
      </c>
      <c r="I52" s="5">
        <v>1</v>
      </c>
      <c r="J52" s="9">
        <v>5000000</v>
      </c>
      <c r="K52" s="58">
        <f>Table1[[#This Row],[Số lượng]]*Table1[[#This Row],[Đơn giá]]</f>
        <v>5000000</v>
      </c>
      <c r="L52" s="138"/>
    </row>
    <row r="53" spans="1:12" x14ac:dyDescent="0.3">
      <c r="A53" s="64" t="str">
        <f>IF(Table1[[#This Row],[Số HĐ]]=BBVC!$R$2,MAX(DATA!A52:A52)+1,"")</f>
        <v/>
      </c>
      <c r="B53" s="5">
        <v>41</v>
      </c>
      <c r="C53" s="62">
        <v>46209</v>
      </c>
      <c r="D53" s="5">
        <v>2500598864</v>
      </c>
      <c r="E53" s="63" t="str">
        <f>VLOOKUP(Table1[[#This Row],[MST]],Table2[#All],2,0)</f>
        <v>CÔNG TY TNHH CÂN ĐIỆN TỬ THẾ HỆ MỚI</v>
      </c>
      <c r="F53" s="63" t="str">
        <f>VLOOKUP(Table1[[#This Row],[MST]],Table2[#All],3,0)</f>
        <v>Thôn Đồng Lực, Xã Hoàng An, Tỉnh Phú Thọ, Việt Nam</v>
      </c>
      <c r="G53" s="63" t="s">
        <v>305</v>
      </c>
      <c r="H53" s="63" t="s">
        <v>95</v>
      </c>
      <c r="I53" s="5">
        <v>1</v>
      </c>
      <c r="J53" s="9">
        <v>5000000</v>
      </c>
      <c r="K53" s="58">
        <f>Table1[[#This Row],[Số lượng]]*Table1[[#This Row],[Đơn giá]]</f>
        <v>5000000</v>
      </c>
      <c r="L53" s="138"/>
    </row>
    <row r="54" spans="1:12" x14ac:dyDescent="0.3">
      <c r="A54" s="4" t="str">
        <f>IF(Table1[[#This Row],[Số HĐ]]=BBVC!$R$2,MAX(DATA!A53:A53)+1,"")</f>
        <v/>
      </c>
      <c r="B54" s="5">
        <v>42</v>
      </c>
      <c r="C54" s="62">
        <v>46210</v>
      </c>
      <c r="D54" s="5">
        <v>2500598864</v>
      </c>
      <c r="E54" s="5" t="str">
        <f>VLOOKUP(Table1[[#This Row],[MST]],Table2[#All],2,0)</f>
        <v>CÔNG TY TNHH CÂN ĐIỆN TỬ THẾ HỆ MỚI</v>
      </c>
      <c r="F54" s="5" t="str">
        <f>VLOOKUP(Table1[[#This Row],[MST]],Table2[#All],3,0)</f>
        <v>Thôn Đồng Lực, Xã Hoàng An, Tỉnh Phú Thọ, Việt Nam</v>
      </c>
      <c r="G54" s="5" t="s">
        <v>306</v>
      </c>
      <c r="H54" s="5" t="s">
        <v>95</v>
      </c>
      <c r="I54" s="5">
        <v>1</v>
      </c>
      <c r="J54" s="9">
        <v>7000000</v>
      </c>
      <c r="K54" s="58">
        <f>Table1[[#This Row],[Số lượng]]*Table1[[#This Row],[Đơn giá]]</f>
        <v>7000000</v>
      </c>
      <c r="L54" s="138"/>
    </row>
    <row r="55" spans="1:12" x14ac:dyDescent="0.3">
      <c r="A55" s="64" t="str">
        <f>IF(Table1[[#This Row],[Số HĐ]]=BBVC!$R$2,MAX(DATA!A54:A54)+1,"")</f>
        <v/>
      </c>
      <c r="B55" s="5">
        <v>43</v>
      </c>
      <c r="C55" s="62">
        <v>46210</v>
      </c>
      <c r="D55" s="5">
        <v>2500598864</v>
      </c>
      <c r="E55" s="63" t="str">
        <f>VLOOKUP(Table1[[#This Row],[MST]],Table2[#All],2,0)</f>
        <v>CÔNG TY TNHH CÂN ĐIỆN TỬ THẾ HỆ MỚI</v>
      </c>
      <c r="F55" s="63" t="str">
        <f>VLOOKUP(Table1[[#This Row],[MST]],Table2[#All],3,0)</f>
        <v>Thôn Đồng Lực, Xã Hoàng An, Tỉnh Phú Thọ, Việt Nam</v>
      </c>
      <c r="G55" s="63" t="s">
        <v>307</v>
      </c>
      <c r="H55" s="63" t="s">
        <v>95</v>
      </c>
      <c r="I55" s="5">
        <v>1</v>
      </c>
      <c r="J55" s="9">
        <v>22000000</v>
      </c>
      <c r="K55" s="58">
        <f>Table1[[#This Row],[Số lượng]]*Table1[[#This Row],[Đơn giá]]</f>
        <v>22000000</v>
      </c>
      <c r="L55" s="138"/>
    </row>
    <row r="56" spans="1:12" x14ac:dyDescent="0.3">
      <c r="A56" s="4" t="str">
        <f>IF(Table1[[#This Row],[Số HĐ]]=BBVC!$R$2,MAX(DATA!A55:A55)+1,"")</f>
        <v/>
      </c>
      <c r="B56" s="5">
        <v>44</v>
      </c>
      <c r="C56" s="7">
        <v>46216</v>
      </c>
      <c r="D56" s="5">
        <v>2500424145</v>
      </c>
      <c r="E56" s="5" t="str">
        <f>VLOOKUP(Table1[[#This Row],[MST]],Table2[#All],2,0)</f>
        <v>CÔNG TY TNHH THIẾT BỊ CÔNG NGHIỆP HTC VĨNH PHÚC</v>
      </c>
      <c r="F56" s="5" t="str">
        <f>VLOOKUP(Table1[[#This Row],[MST]],Table2[#All],3,0)</f>
        <v>Ngõ 07, Đường Lý Thường Kiệt, TDP Lai Sơn, Phường Vĩnh Yên, Tỉnh Phú Thọ</v>
      </c>
      <c r="G56" s="5" t="s">
        <v>310</v>
      </c>
      <c r="H56" s="5" t="s">
        <v>95</v>
      </c>
      <c r="I56" s="5">
        <v>2</v>
      </c>
      <c r="J56" s="9">
        <v>4000000</v>
      </c>
      <c r="K56" s="58">
        <f>Table1[[#This Row],[Số lượng]]*Table1[[#This Row],[Đơn giá]]</f>
        <v>8000000</v>
      </c>
      <c r="L56" s="138"/>
    </row>
    <row r="57" spans="1:12" x14ac:dyDescent="0.3">
      <c r="A57" s="4" t="str">
        <f>IF(Table1[[#This Row],[Số HĐ]]=BBVC!$R$2,MAX(DATA!A56:A56)+1,"")</f>
        <v/>
      </c>
      <c r="B57" s="5">
        <v>45</v>
      </c>
      <c r="C57" s="7">
        <v>46217</v>
      </c>
      <c r="D57" s="5">
        <v>2500424145</v>
      </c>
      <c r="E57" s="5" t="str">
        <f>VLOOKUP(Table1[[#This Row],[MST]],Table2[#All],2,0)</f>
        <v>CÔNG TY TNHH THIẾT BỊ CÔNG NGHIỆP HTC VĨNH PHÚC</v>
      </c>
      <c r="F57" s="5" t="str">
        <f>VLOOKUP(Table1[[#This Row],[MST]],Table2[#All],3,0)</f>
        <v>Ngõ 07, Đường Lý Thường Kiệt, TDP Lai Sơn, Phường Vĩnh Yên, Tỉnh Phú Thọ</v>
      </c>
      <c r="G57" s="5" t="s">
        <v>308</v>
      </c>
      <c r="H57" s="5" t="s">
        <v>95</v>
      </c>
      <c r="I57" s="5">
        <v>1</v>
      </c>
      <c r="J57" s="9">
        <v>4800000</v>
      </c>
      <c r="K57" s="58">
        <f>Table1[[#This Row],[Số lượng]]*Table1[[#This Row],[Đơn giá]]</f>
        <v>4800000</v>
      </c>
      <c r="L57" s="138"/>
    </row>
    <row r="58" spans="1:12" x14ac:dyDescent="0.3">
      <c r="A58" s="64" t="str">
        <f>IF(Table1[[#This Row],[Số HĐ]]=BBVC!$R$2,MAX(DATA!A57:A57)+1,"")</f>
        <v/>
      </c>
      <c r="B58" s="5">
        <v>45</v>
      </c>
      <c r="C58" s="7">
        <v>46217</v>
      </c>
      <c r="D58" s="5">
        <v>2500424145</v>
      </c>
      <c r="E58" s="63" t="str">
        <f>VLOOKUP(Table1[[#This Row],[MST]],Table2[#All],2,0)</f>
        <v>CÔNG TY TNHH THIẾT BỊ CÔNG NGHIỆP HTC VĨNH PHÚC</v>
      </c>
      <c r="F58" s="63" t="str">
        <f>VLOOKUP(Table1[[#This Row],[MST]],Table2[#All],3,0)</f>
        <v>Ngõ 07, Đường Lý Thường Kiệt, TDP Lai Sơn, Phường Vĩnh Yên, Tỉnh Phú Thọ</v>
      </c>
      <c r="G58" s="63" t="s">
        <v>309</v>
      </c>
      <c r="H58" s="63" t="s">
        <v>95</v>
      </c>
      <c r="I58" s="5">
        <v>1</v>
      </c>
      <c r="J58" s="9">
        <v>5200000</v>
      </c>
      <c r="K58" s="58">
        <f>Table1[[#This Row],[Số lượng]]*Table1[[#This Row],[Đơn giá]]</f>
        <v>5200000</v>
      </c>
      <c r="L58" s="138"/>
    </row>
    <row r="59" spans="1:12" x14ac:dyDescent="0.3">
      <c r="A59" s="4" t="str">
        <f>IF(Table1[[#This Row],[Số HĐ]]=BBVC!$R$2,MAX(DATA!A58:A58)+1,"")</f>
        <v/>
      </c>
      <c r="B59" s="5">
        <v>46</v>
      </c>
      <c r="C59" s="62">
        <v>46218</v>
      </c>
      <c r="D59" s="5">
        <v>4601654519</v>
      </c>
      <c r="E59" s="5" t="str">
        <f>VLOOKUP(Table1[[#This Row],[MST]],Table2[#All],2,0)</f>
        <v>CÔNG TY TNHH KHOA HỌC DỊCH VỤ KỸ THUẬT TÂN THỊNH PHÁT</v>
      </c>
      <c r="F59" s="5" t="str">
        <f>VLOOKUP(Table1[[#This Row],[MST]],Table2[#All],3,0)</f>
        <v>Số nhà 37, Tổ 11, Phường Tích Lương, Tỉnh Thái Nguyên, Việt Nam</v>
      </c>
      <c r="G59" s="5" t="s">
        <v>312</v>
      </c>
      <c r="H59" s="5" t="s">
        <v>95</v>
      </c>
      <c r="I59" s="5">
        <v>1</v>
      </c>
      <c r="J59" s="9">
        <v>8000000</v>
      </c>
      <c r="K59" s="58">
        <f>Table1[[#This Row],[Số lượng]]*Table1[[#This Row],[Đơn giá]]</f>
        <v>8000000</v>
      </c>
      <c r="L59" s="138"/>
    </row>
    <row r="60" spans="1:12" x14ac:dyDescent="0.3">
      <c r="A60" s="4" t="str">
        <f>IF(Table1[[#This Row],[Số HĐ]]=BBVC!$R$2,MAX(DATA!A59:A59)+1,"")</f>
        <v/>
      </c>
      <c r="B60" s="5">
        <v>47</v>
      </c>
      <c r="C60" s="62">
        <v>46219</v>
      </c>
      <c r="D60" s="5">
        <v>2500424145</v>
      </c>
      <c r="E60" s="5" t="str">
        <f>VLOOKUP(Table1[[#This Row],[MST]],Table2[#All],2,0)</f>
        <v>CÔNG TY TNHH THIẾT BỊ CÔNG NGHIỆP HTC VĨNH PHÚC</v>
      </c>
      <c r="F60" s="5" t="str">
        <f>VLOOKUP(Table1[[#This Row],[MST]],Table2[#All],3,0)</f>
        <v>Ngõ 07, Đường Lý Thường Kiệt, TDP Lai Sơn, Phường Vĩnh Yên, Tỉnh Phú Thọ</v>
      </c>
      <c r="G60" s="5" t="s">
        <v>313</v>
      </c>
      <c r="H60" s="5" t="s">
        <v>95</v>
      </c>
      <c r="I60" s="5">
        <v>2</v>
      </c>
      <c r="J60" s="9">
        <v>4800000</v>
      </c>
      <c r="K60" s="58">
        <f>Table1[[#This Row],[Số lượng]]*Table1[[#This Row],[Đơn giá]]</f>
        <v>9600000</v>
      </c>
      <c r="L60" s="138"/>
    </row>
    <row r="61" spans="1:12" x14ac:dyDescent="0.3">
      <c r="A61" s="4" t="str">
        <f>IF(Table1[[#This Row],[Số HĐ]]=BBVC!$R$2,MAX(DATA!A60:A60)+1,"")</f>
        <v/>
      </c>
      <c r="B61" s="5">
        <v>47</v>
      </c>
      <c r="C61" s="62">
        <v>46219</v>
      </c>
      <c r="D61" s="5">
        <v>2500424145</v>
      </c>
      <c r="E61" s="5" t="str">
        <f>VLOOKUP(Table1[[#This Row],[MST]],Table2[#All],2,0)</f>
        <v>CÔNG TY TNHH THIẾT BỊ CÔNG NGHIỆP HTC VĨNH PHÚC</v>
      </c>
      <c r="F61" s="5" t="str">
        <f>VLOOKUP(Table1[[#This Row],[MST]],Table2[#All],3,0)</f>
        <v>Ngõ 07, Đường Lý Thường Kiệt, TDP Lai Sơn, Phường Vĩnh Yên, Tỉnh Phú Thọ</v>
      </c>
      <c r="G61" s="5" t="s">
        <v>314</v>
      </c>
      <c r="H61" s="5" t="s">
        <v>95</v>
      </c>
      <c r="I61" s="5">
        <v>1</v>
      </c>
      <c r="J61" s="9">
        <v>3000000</v>
      </c>
      <c r="K61" s="58">
        <f>Table1[[#This Row],[Số lượng]]*Table1[[#This Row],[Đơn giá]]</f>
        <v>3000000</v>
      </c>
      <c r="L61" s="138"/>
    </row>
    <row r="62" spans="1:12" x14ac:dyDescent="0.3">
      <c r="A62" s="4" t="str">
        <f>IF(Table1[[#This Row],[Số HĐ]]=BBVC!$R$2,MAX(DATA!A61:A61)+1,"")</f>
        <v/>
      </c>
      <c r="B62" s="5">
        <v>48</v>
      </c>
      <c r="C62" s="62">
        <v>46220</v>
      </c>
      <c r="D62" s="5">
        <v>2500424145</v>
      </c>
      <c r="E62" s="5" t="str">
        <f>VLOOKUP(Table1[[#This Row],[MST]],Table2[#All],2,0)</f>
        <v>CÔNG TY TNHH THIẾT BỊ CÔNG NGHIỆP HTC VĨNH PHÚC</v>
      </c>
      <c r="F62" s="5" t="str">
        <f>VLOOKUP(Table1[[#This Row],[MST]],Table2[#All],3,0)</f>
        <v>Ngõ 07, Đường Lý Thường Kiệt, TDP Lai Sơn, Phường Vĩnh Yên, Tỉnh Phú Thọ</v>
      </c>
      <c r="G62" s="5" t="s">
        <v>315</v>
      </c>
      <c r="H62" s="5" t="s">
        <v>95</v>
      </c>
      <c r="I62" s="5">
        <v>1</v>
      </c>
      <c r="J62" s="9">
        <v>4500000</v>
      </c>
      <c r="K62" s="58">
        <f>Table1[[#This Row],[Số lượng]]*Table1[[#This Row],[Đơn giá]]</f>
        <v>4500000</v>
      </c>
      <c r="L62" s="138"/>
    </row>
    <row r="63" spans="1:12" x14ac:dyDescent="0.3">
      <c r="A63" s="64" t="str">
        <f>IF(Table1[[#This Row],[Số HĐ]]=BBVC!$R$2,MAX(DATA!A62:A62)+1,"")</f>
        <v/>
      </c>
      <c r="B63" s="5">
        <v>48</v>
      </c>
      <c r="C63" s="62">
        <v>46220</v>
      </c>
      <c r="D63" s="5">
        <v>2500424145</v>
      </c>
      <c r="E63" s="63" t="str">
        <f>VLOOKUP(Table1[[#This Row],[MST]],Table2[#All],2,0)</f>
        <v>CÔNG TY TNHH THIẾT BỊ CÔNG NGHIỆP HTC VĨNH PHÚC</v>
      </c>
      <c r="F63" s="63" t="str">
        <f>VLOOKUP(Table1[[#This Row],[MST]],Table2[#All],3,0)</f>
        <v>Ngõ 07, Đường Lý Thường Kiệt, TDP Lai Sơn, Phường Vĩnh Yên, Tỉnh Phú Thọ</v>
      </c>
      <c r="G63" s="63" t="s">
        <v>316</v>
      </c>
      <c r="H63" s="63" t="s">
        <v>95</v>
      </c>
      <c r="I63" s="5">
        <v>1</v>
      </c>
      <c r="J63" s="9">
        <v>4200000</v>
      </c>
      <c r="K63" s="58">
        <f>Table1[[#This Row],[Số lượng]]*Table1[[#This Row],[Đơn giá]]</f>
        <v>4200000</v>
      </c>
      <c r="L63" s="138"/>
    </row>
    <row r="64" spans="1:12" x14ac:dyDescent="0.3">
      <c r="A64" s="4" t="str">
        <f>IF(Table1[[#This Row],[Số HĐ]]=BBVC!$R$2,MAX(DATA!A63:A63)+1,"")</f>
        <v/>
      </c>
      <c r="B64" s="5">
        <v>49</v>
      </c>
      <c r="C64" s="62">
        <v>46220</v>
      </c>
      <c r="D64" s="5">
        <v>4601506704</v>
      </c>
      <c r="E64" s="5" t="str">
        <f>VLOOKUP(Table1[[#This Row],[MST]],Table2[#All],2,0)</f>
        <v>CÔNG TY TNHH SẢN XUẤT VÁN ÉP THÀNH PHÚ</v>
      </c>
      <c r="F64" s="5" t="str">
        <f>VLOOKUP(Table1[[#This Row],[MST]],Table2[#All],3,0)</f>
        <v>Xóm Tân Lập, Phường Phúc Thuận, Tỉnh Thái Nguyên, Việt Nam</v>
      </c>
      <c r="G64" s="5" t="s">
        <v>323</v>
      </c>
      <c r="H64" s="5" t="s">
        <v>95</v>
      </c>
      <c r="I64" s="5">
        <v>1</v>
      </c>
      <c r="J64" s="9">
        <v>8000000</v>
      </c>
      <c r="K64" s="58">
        <f>Table1[[#This Row],[Số lượng]]*Table1[[#This Row],[Đơn giá]]</f>
        <v>8000000</v>
      </c>
      <c r="L64" s="138"/>
    </row>
    <row r="65" spans="1:12" x14ac:dyDescent="0.3">
      <c r="A65" s="4" t="str">
        <f>IF(Table1[[#This Row],[Số HĐ]]=BBVC!$R$2,MAX(DATA!A64:A64)+1,"")</f>
        <v/>
      </c>
      <c r="B65" s="5">
        <v>50</v>
      </c>
      <c r="C65" s="62">
        <v>46223</v>
      </c>
      <c r="D65" s="5">
        <v>2500424145</v>
      </c>
      <c r="E65" s="5" t="str">
        <f>VLOOKUP(Table1[[#This Row],[MST]],Table2[#All],2,0)</f>
        <v>CÔNG TY TNHH THIẾT BỊ CÔNG NGHIỆP HTC VĨNH PHÚC</v>
      </c>
      <c r="F65" s="5" t="str">
        <f>VLOOKUP(Table1[[#This Row],[MST]],Table2[#All],3,0)</f>
        <v>Ngõ 07, Đường Lý Thường Kiệt, TDP Lai Sơn, Phường Vĩnh Yên, Tỉnh Phú Thọ</v>
      </c>
      <c r="G65" s="5" t="s">
        <v>322</v>
      </c>
      <c r="H65" s="5" t="s">
        <v>95</v>
      </c>
      <c r="I65" s="5">
        <v>1</v>
      </c>
      <c r="J65" s="9">
        <v>4500000</v>
      </c>
      <c r="K65" s="58">
        <f>Table1[[#This Row],[Số lượng]]*Table1[[#This Row],[Đơn giá]]</f>
        <v>4500000</v>
      </c>
      <c r="L65" s="138"/>
    </row>
    <row r="66" spans="1:12" x14ac:dyDescent="0.3">
      <c r="A66" s="4" t="str">
        <f>IF(Table1[[#This Row],[Số HĐ]]=BBVC!$R$2,MAX(DATA!A65:A65)+1,"")</f>
        <v/>
      </c>
      <c r="B66" s="5">
        <v>51</v>
      </c>
      <c r="C66" s="62">
        <v>46224</v>
      </c>
      <c r="D66" s="55" t="s">
        <v>88</v>
      </c>
      <c r="E66" s="5" t="str">
        <f>VLOOKUP(Table1[[#This Row],[MST]],Table2[#All],2,0)</f>
        <v>CÔNG TY TNHH ỨNG DỤNG GIẢI PHÁP CÔNG NGHỆ</v>
      </c>
      <c r="F66" s="5" t="str">
        <f>VLOOKUP(Table1[[#This Row],[MST]],Table2[#All],3,0)</f>
        <v>Số 100 Ngõ 40 Tạ Quang Bửu, Phường Bạch Mai, Thành phố Hà Nội, Việt Nam</v>
      </c>
      <c r="G66" s="5" t="s">
        <v>324</v>
      </c>
      <c r="H66" s="5" t="s">
        <v>95</v>
      </c>
      <c r="I66" s="5">
        <v>2</v>
      </c>
      <c r="J66" s="9">
        <v>8500000</v>
      </c>
      <c r="K66" s="58">
        <f>Table1[[#This Row],[Số lượng]]*Table1[[#This Row],[Đơn giá]]</f>
        <v>17000000</v>
      </c>
      <c r="L66" s="138"/>
    </row>
    <row r="67" spans="1:12" x14ac:dyDescent="0.3">
      <c r="A67" s="4" t="str">
        <f>IF(Table1[[#This Row],[Số HĐ]]=BBVC!$R$2,MAX(DATA!A66:A66)+1,"")</f>
        <v/>
      </c>
      <c r="B67" s="5">
        <v>52</v>
      </c>
      <c r="C67" s="62">
        <v>46226</v>
      </c>
      <c r="D67" s="5">
        <v>1101925902</v>
      </c>
      <c r="E67" s="5" t="str">
        <f>VLOOKUP(Table1[[#This Row],[MST]],Table2[#All],2,0)</f>
        <v>CÔNG TY TNHH KỸ THUẬT ĐO LƯỜNG TÂN QUỐC HƯNG</v>
      </c>
      <c r="F67" s="5" t="str">
        <f>VLOOKUP(Table1[[#This Row],[MST]],Table2[#All],3,0)</f>
        <v>Lô M-3, Đường Trung Tâm, Khu Công Nghiệp Long Hậu Mở Rộng, Ấp Long Hậu 3, Xã Cần Giuộc, Tỉnh Tây Ninh, Việt Nam</v>
      </c>
      <c r="G67" s="5" t="s">
        <v>325</v>
      </c>
      <c r="H67" s="5" t="s">
        <v>95</v>
      </c>
      <c r="I67" s="5">
        <v>1</v>
      </c>
      <c r="J67" s="9">
        <v>7000000</v>
      </c>
      <c r="K67" s="58">
        <f>Table1[[#This Row],[Số lượng]]*Table1[[#This Row],[Đơn giá]]</f>
        <v>7000000</v>
      </c>
      <c r="L67" s="138"/>
    </row>
    <row r="68" spans="1:12" x14ac:dyDescent="0.3">
      <c r="A68" s="4" t="str">
        <f>IF(Table1[[#This Row],[Số HĐ]]=BBVC!$R$2,MAX(DATA!A67:A67)+1,"")</f>
        <v/>
      </c>
      <c r="B68" s="5">
        <v>53</v>
      </c>
      <c r="C68" s="62">
        <v>46226</v>
      </c>
      <c r="D68" s="5">
        <v>2500424145</v>
      </c>
      <c r="E68" s="5" t="str">
        <f>VLOOKUP(Table1[[#This Row],[MST]],Table2[#All],2,0)</f>
        <v>CÔNG TY TNHH THIẾT BỊ CÔNG NGHIỆP HTC VĨNH PHÚC</v>
      </c>
      <c r="F68" s="5" t="str">
        <f>VLOOKUP(Table1[[#This Row],[MST]],Table2[#All],3,0)</f>
        <v>Ngõ 07, Đường Lý Thường Kiệt, TDP Lai Sơn, Phường Vĩnh Yên, Tỉnh Phú Thọ</v>
      </c>
      <c r="G68" s="5" t="s">
        <v>328</v>
      </c>
      <c r="H68" s="5" t="s">
        <v>95</v>
      </c>
      <c r="I68" s="5">
        <v>1</v>
      </c>
      <c r="J68" s="9">
        <v>4000000</v>
      </c>
      <c r="K68" s="58">
        <f>Table1[[#This Row],[Số lượng]]*Table1[[#This Row],[Đơn giá]]</f>
        <v>4000000</v>
      </c>
      <c r="L68" s="138"/>
    </row>
    <row r="69" spans="1:12" x14ac:dyDescent="0.3">
      <c r="A69" s="4" t="str">
        <f>IF(Table1[[#This Row],[Số HĐ]]=BBVC!$R$2,MAX(DATA!A68:A68)+1,"")</f>
        <v/>
      </c>
      <c r="B69" s="5">
        <v>54</v>
      </c>
      <c r="C69" s="62">
        <v>46229</v>
      </c>
      <c r="D69" s="55" t="s">
        <v>88</v>
      </c>
      <c r="E69" s="5" t="str">
        <f>VLOOKUP(Table1[[#This Row],[MST]],Table2[#All],2,0)</f>
        <v>CÔNG TY TNHH ỨNG DỤNG GIẢI PHÁP CÔNG NGHỆ</v>
      </c>
      <c r="F69" s="5" t="str">
        <f>VLOOKUP(Table1[[#This Row],[MST]],Table2[#All],3,0)</f>
        <v>Số 100 Ngõ 40 Tạ Quang Bửu, Phường Bạch Mai, Thành phố Hà Nội, Việt Nam</v>
      </c>
      <c r="G69" s="5" t="s">
        <v>331</v>
      </c>
      <c r="H69" s="5" t="s">
        <v>95</v>
      </c>
      <c r="I69" s="5">
        <v>2</v>
      </c>
      <c r="J69" s="9">
        <v>7250000</v>
      </c>
      <c r="K69" s="58">
        <f>Table1[[#This Row],[Số lượng]]*Table1[[#This Row],[Đơn giá]]</f>
        <v>14500000</v>
      </c>
      <c r="L69" s="138"/>
    </row>
    <row r="70" spans="1:12" x14ac:dyDescent="0.3">
      <c r="A70" s="4" t="str">
        <f>IF(Table1[[#This Row],[Số HĐ]]=BBVC!$R$2,MAX(DATA!A69:A69)+1,"")</f>
        <v/>
      </c>
      <c r="B70" s="5">
        <v>55</v>
      </c>
      <c r="C70" s="62">
        <v>46234</v>
      </c>
      <c r="D70" s="5">
        <v>2500779878</v>
      </c>
      <c r="E70" s="5" t="str">
        <f>VLOOKUP(Table1[[#This Row],[MST]],Table2[#All],2,0)</f>
        <v>CÔNG TY TNHH ĐẦU TƯ PHÁT TRIỂN THƯƠNG MẠI THÀNH TIẾN</v>
      </c>
      <c r="F70" s="5" t="str">
        <f>VLOOKUP(Table1[[#This Row],[MST]],Table2[#All],3,0)</f>
        <v>Thôn Đại Định, Xã Vĩnh Thành, Tỉnh Phú Thọ, Việt Nam</v>
      </c>
      <c r="G70" s="5" t="s">
        <v>337</v>
      </c>
      <c r="H70" s="5" t="s">
        <v>95</v>
      </c>
      <c r="I70" s="5">
        <v>1</v>
      </c>
      <c r="J70" s="9">
        <v>1500000</v>
      </c>
      <c r="K70" s="58">
        <f>Table1[[#This Row],[Số lượng]]*Table1[[#This Row],[Đơn giá]]</f>
        <v>1500000</v>
      </c>
      <c r="L70" s="138"/>
    </row>
    <row r="71" spans="1:12" x14ac:dyDescent="0.3">
      <c r="A71" s="4" t="str">
        <f>IF(Table1[[#This Row],[Số HĐ]]=BBVC!$R$2,MAX(DATA!A70:A70)+1,"")</f>
        <v/>
      </c>
      <c r="B71" s="5">
        <v>56</v>
      </c>
      <c r="C71" s="62">
        <v>46234</v>
      </c>
      <c r="D71" s="5">
        <v>4601654519</v>
      </c>
      <c r="E71" s="5" t="str">
        <f>VLOOKUP(Table1[[#This Row],[MST]],Table2[#All],2,0)</f>
        <v>CÔNG TY TNHH KHOA HỌC DỊCH VỤ KỸ THUẬT TÂN THỊNH PHÁT</v>
      </c>
      <c r="F71" s="5" t="str">
        <f>VLOOKUP(Table1[[#This Row],[MST]],Table2[#All],3,0)</f>
        <v>Số nhà 37, Tổ 11, Phường Tích Lương, Tỉnh Thái Nguyên, Việt Nam</v>
      </c>
      <c r="G71" s="5" t="s">
        <v>343</v>
      </c>
      <c r="H71" s="5" t="s">
        <v>95</v>
      </c>
      <c r="I71" s="5">
        <v>1</v>
      </c>
      <c r="J71" s="9">
        <v>15000000</v>
      </c>
      <c r="K71" s="58">
        <f>Table1[[#This Row],[Số lượng]]*Table1[[#This Row],[Đơn giá]]</f>
        <v>15000000</v>
      </c>
      <c r="L71" s="138"/>
    </row>
    <row r="72" spans="1:12" x14ac:dyDescent="0.3">
      <c r="A72" s="4" t="str">
        <f>IF(Table1[[#This Row],[Số HĐ]]=BBVC!$R$2,MAX(DATA!A71:A71)+1,"")</f>
        <v/>
      </c>
      <c r="B72" s="5">
        <v>57</v>
      </c>
      <c r="C72" s="62">
        <v>46235</v>
      </c>
      <c r="D72" s="5">
        <v>4601294471</v>
      </c>
      <c r="E72" s="5" t="str">
        <f>VLOOKUP(Table1[[#This Row],[MST]],Table2[#All],2,0)</f>
        <v>CÔNG TY TNHH KHOA HỌC VÀ  KỸ THUẬT KTC THÁI NGUYÊN</v>
      </c>
      <c r="F72" s="5" t="str">
        <f>VLOOKUP(Table1[[#This Row],[MST]],Table2[#All],3,0)</f>
        <v>Tổ 1, Phường Quyết Thắng, Tỉnh Thái Nguyên, Việt Nam</v>
      </c>
      <c r="G72" s="5" t="s">
        <v>344</v>
      </c>
      <c r="H72" s="5" t="s">
        <v>95</v>
      </c>
      <c r="I72" s="5">
        <v>1</v>
      </c>
      <c r="J72" s="9">
        <v>5500000</v>
      </c>
      <c r="K72" s="58">
        <f>Table1[[#This Row],[Số lượng]]*Table1[[#This Row],[Đơn giá]]</f>
        <v>5500000</v>
      </c>
      <c r="L72" s="138"/>
    </row>
    <row r="73" spans="1:12" x14ac:dyDescent="0.3">
      <c r="A73" s="4" t="str">
        <f>IF(Table1[[#This Row],[Số HĐ]]=BBVC!$R$2,MAX(DATA!A72:A72)+1,"")</f>
        <v/>
      </c>
      <c r="B73" s="5">
        <v>58</v>
      </c>
      <c r="C73" s="62">
        <v>46248</v>
      </c>
      <c r="D73" s="55" t="s">
        <v>239</v>
      </c>
      <c r="E73" s="5" t="str">
        <f>VLOOKUP(Table1[[#This Row],[MST]],Table2[#All],2,0)</f>
        <v xml:space="preserve">CÔNG TY TNHH TM VÀ DỊCH VỤ TỰ ĐỘNG HÓA THÀNH CÔNG </v>
      </c>
      <c r="F73" s="5" t="str">
        <f>VLOOKUP(Table1[[#This Row],[MST]],Table2[#All],3,0)</f>
        <v>Thửa đất số 171CBĐ 03, Tổ 5 Phường Yên Nghĩa, Thành Phố Hà Nội</v>
      </c>
      <c r="G73" s="5" t="s">
        <v>390</v>
      </c>
      <c r="H73" s="5" t="s">
        <v>95</v>
      </c>
      <c r="I73" s="5">
        <v>1</v>
      </c>
      <c r="J73" s="9">
        <v>3500000</v>
      </c>
      <c r="K73" s="58">
        <f>Table1[[#This Row],[Số lượng]]*Table1[[#This Row],[Đơn giá]]</f>
        <v>3500000</v>
      </c>
      <c r="L73" s="138"/>
    </row>
    <row r="74" spans="1:12" x14ac:dyDescent="0.3">
      <c r="A74" s="4" t="str">
        <f>IF(Table1[[#This Row],[Số HĐ]]=BBVC!$R$2,MAX(DATA!A73:A73)+1,"")</f>
        <v/>
      </c>
      <c r="B74" s="5">
        <v>59</v>
      </c>
      <c r="C74" s="62">
        <v>46251</v>
      </c>
      <c r="D74" s="55">
        <v>2500598864</v>
      </c>
      <c r="E74" s="5" t="str">
        <f>VLOOKUP(Table1[[#This Row],[MST]],Table2[#All],2,0)</f>
        <v>CÔNG TY TNHH CÂN ĐIỆN TỬ THẾ HỆ MỚI</v>
      </c>
      <c r="F74" s="5" t="str">
        <f>VLOOKUP(Table1[[#This Row],[MST]],Table2[#All],3,0)</f>
        <v>Thôn Đồng Lực, Xã Hoàng An, Tỉnh Phú Thọ, Việt Nam</v>
      </c>
      <c r="G74" s="5" t="s">
        <v>393</v>
      </c>
      <c r="H74" s="5" t="s">
        <v>95</v>
      </c>
      <c r="I74" s="5">
        <v>1</v>
      </c>
      <c r="J74" s="9">
        <v>30000000</v>
      </c>
      <c r="K74" s="58">
        <f>Table1[[#This Row],[Số lượng]]*Table1[[#This Row],[Đơn giá]]</f>
        <v>30000000</v>
      </c>
      <c r="L74" s="138"/>
    </row>
    <row r="75" spans="1:12" x14ac:dyDescent="0.3">
      <c r="A75" s="4" t="str">
        <f>IF(Table1[[#This Row],[Số HĐ]]=BBVC!$R$2,MAX(DATA!A74:A74)+1,"")</f>
        <v/>
      </c>
      <c r="B75" s="5">
        <v>60</v>
      </c>
      <c r="C75" s="62">
        <v>46252</v>
      </c>
      <c r="D75" s="5">
        <v>2500424145</v>
      </c>
      <c r="E75" s="5" t="str">
        <f>VLOOKUP(Table1[[#This Row],[MST]],Table2[#All],2,0)</f>
        <v>CÔNG TY TNHH THIẾT BỊ CÔNG NGHIỆP HTC VĨNH PHÚC</v>
      </c>
      <c r="F75" s="5" t="str">
        <f>VLOOKUP(Table1[[#This Row],[MST]],Table2[#All],3,0)</f>
        <v>Ngõ 07, Đường Lý Thường Kiệt, TDP Lai Sơn, Phường Vĩnh Yên, Tỉnh Phú Thọ</v>
      </c>
      <c r="G75" s="5" t="s">
        <v>394</v>
      </c>
      <c r="H75" s="5" t="s">
        <v>95</v>
      </c>
      <c r="I75" s="5">
        <v>1</v>
      </c>
      <c r="J75" s="9">
        <v>8000000</v>
      </c>
      <c r="K75" s="58">
        <f>Table1[[#This Row],[Số lượng]]*Table1[[#This Row],[Đơn giá]]</f>
        <v>8000000</v>
      </c>
      <c r="L75" s="138"/>
    </row>
    <row r="76" spans="1:12" x14ac:dyDescent="0.3">
      <c r="A76" s="4" t="str">
        <f>IF(Table1[[#This Row],[Số HĐ]]=BBVC!$R$2,MAX(DATA!A75:A75)+1,"")</f>
        <v/>
      </c>
      <c r="B76" s="5">
        <v>61</v>
      </c>
      <c r="C76" s="62">
        <v>46258</v>
      </c>
      <c r="D76" s="5">
        <v>2500518379</v>
      </c>
      <c r="E76" s="5" t="str">
        <f>VLOOKUP(Table1[[#This Row],[MST]],Table2[#All],2,0)</f>
        <v>CÔNG TY CỔ PHẦN CÂN ĐIỆN TỬ VĨNH PHÚC</v>
      </c>
      <c r="F76" s="5" t="str">
        <f>VLOOKUP(Table1[[#This Row],[MST]],Table2[#All],3,0)</f>
        <v>Khu Lai Sơn, Phường Vĩnh Yên, Tỉnh Phú Thọ, Việt Nam</v>
      </c>
      <c r="G76" s="5" t="s">
        <v>397</v>
      </c>
      <c r="H76" s="5" t="s">
        <v>95</v>
      </c>
      <c r="I76" s="5">
        <v>1</v>
      </c>
      <c r="J76" s="9">
        <v>7000000</v>
      </c>
      <c r="K76" s="58">
        <f>Table1[[#This Row],[Số lượng]]*Table1[[#This Row],[Đơn giá]]</f>
        <v>7000000</v>
      </c>
      <c r="L76" s="138"/>
    </row>
    <row r="77" spans="1:12" x14ac:dyDescent="0.3">
      <c r="A77" s="4" t="str">
        <f>IF(Table1[[#This Row],[Số HĐ]]=BBVC!$R$2,MAX(DATA!A76:A76)+1,"")</f>
        <v/>
      </c>
      <c r="B77" s="5">
        <v>61</v>
      </c>
      <c r="C77" s="62">
        <v>46258</v>
      </c>
      <c r="D77" s="5">
        <v>2500518379</v>
      </c>
      <c r="E77" s="5" t="str">
        <f>VLOOKUP(Table1[[#This Row],[MST]],Table2[#All],2,0)</f>
        <v>CÔNG TY CỔ PHẦN CÂN ĐIỆN TỬ VĨNH PHÚC</v>
      </c>
      <c r="F77" s="5" t="str">
        <f>VLOOKUP(Table1[[#This Row],[MST]],Table2[#All],3,0)</f>
        <v>Khu Lai Sơn, Phường Vĩnh Yên, Tỉnh Phú Thọ, Việt Nam</v>
      </c>
      <c r="G77" s="5" t="s">
        <v>398</v>
      </c>
      <c r="H77" s="5" t="s">
        <v>95</v>
      </c>
      <c r="I77" s="5">
        <v>1</v>
      </c>
      <c r="J77" s="9">
        <v>5500000</v>
      </c>
      <c r="K77" s="58">
        <f>Table1[[#This Row],[Số lượng]]*Table1[[#This Row],[Đơn giá]]</f>
        <v>5500000</v>
      </c>
      <c r="L77" s="138"/>
    </row>
    <row r="78" spans="1:12" x14ac:dyDescent="0.3">
      <c r="A78" s="4" t="str">
        <f>IF(Table1[[#This Row],[Số HĐ]]=BBVC!$R$2,MAX(DATA!A77:A77)+1,"")</f>
        <v/>
      </c>
      <c r="B78" s="5">
        <v>62</v>
      </c>
      <c r="C78" s="62">
        <v>46259</v>
      </c>
      <c r="D78" s="55">
        <v>2500598864</v>
      </c>
      <c r="E78" s="5" t="str">
        <f>VLOOKUP(Table1[[#This Row],[MST]],Table2[#All],2,0)</f>
        <v>CÔNG TY TNHH CÂN ĐIỆN TỬ THẾ HỆ MỚI</v>
      </c>
      <c r="F78" s="5" t="str">
        <f>VLOOKUP(Table1[[#This Row],[MST]],Table2[#All],3,0)</f>
        <v>Thôn Đồng Lực, Xã Hoàng An, Tỉnh Phú Thọ, Việt Nam</v>
      </c>
      <c r="G78" s="5" t="s">
        <v>399</v>
      </c>
      <c r="H78" s="5" t="s">
        <v>95</v>
      </c>
      <c r="I78" s="5">
        <v>1</v>
      </c>
      <c r="J78" s="9">
        <v>4000000</v>
      </c>
      <c r="K78" s="58">
        <f>Table1[[#This Row],[Số lượng]]*Table1[[#This Row],[Đơn giá]]</f>
        <v>4000000</v>
      </c>
      <c r="L78" s="138"/>
    </row>
    <row r="79" spans="1:12" x14ac:dyDescent="0.3">
      <c r="A79" s="4" t="str">
        <f>IF(Table1[[#This Row],[Số HĐ]]=BBVC!$R$2,MAX(DATA!A78:A78)+1,"")</f>
        <v/>
      </c>
      <c r="B79" s="5">
        <v>62</v>
      </c>
      <c r="C79" s="62">
        <v>46259</v>
      </c>
      <c r="D79" s="55">
        <v>2500598864</v>
      </c>
      <c r="E79" s="5" t="str">
        <f>VLOOKUP(Table1[[#This Row],[MST]],Table2[#All],2,0)</f>
        <v>CÔNG TY TNHH CÂN ĐIỆN TỬ THẾ HỆ MỚI</v>
      </c>
      <c r="F79" s="5" t="str">
        <f>VLOOKUP(Table1[[#This Row],[MST]],Table2[#All],3,0)</f>
        <v>Thôn Đồng Lực, Xã Hoàng An, Tỉnh Phú Thọ, Việt Nam</v>
      </c>
      <c r="G79" s="5" t="s">
        <v>400</v>
      </c>
      <c r="H79" s="5" t="s">
        <v>95</v>
      </c>
      <c r="I79" s="5">
        <v>1</v>
      </c>
      <c r="J79" s="9">
        <v>1500000</v>
      </c>
      <c r="K79" s="58">
        <f>Table1[[#This Row],[Số lượng]]*Table1[[#This Row],[Đơn giá]]</f>
        <v>1500000</v>
      </c>
      <c r="L79" s="138"/>
    </row>
    <row r="80" spans="1:12" x14ac:dyDescent="0.3">
      <c r="A80" s="4" t="str">
        <f>IF(Table1[[#This Row],[Số HĐ]]=BBVC!$R$2,MAX(DATA!A79:A79)+1,"")</f>
        <v/>
      </c>
      <c r="B80" s="5">
        <v>64</v>
      </c>
      <c r="C80" s="62">
        <v>46261</v>
      </c>
      <c r="D80" s="55">
        <v>2500424145</v>
      </c>
      <c r="E80" s="5" t="str">
        <f>VLOOKUP(Table1[[#This Row],[MST]],Table2[#All],2,0)</f>
        <v>CÔNG TY TNHH THIẾT BỊ CÔNG NGHIỆP HTC VĨNH PHÚC</v>
      </c>
      <c r="F80" s="5" t="str">
        <f>VLOOKUP(Table1[[#This Row],[MST]],Table2[#All],3,0)</f>
        <v>Ngõ 07, Đường Lý Thường Kiệt, TDP Lai Sơn, Phường Vĩnh Yên, Tỉnh Phú Thọ</v>
      </c>
      <c r="G80" s="5" t="s">
        <v>405</v>
      </c>
      <c r="H80" s="5" t="s">
        <v>95</v>
      </c>
      <c r="I80" s="5">
        <v>1</v>
      </c>
      <c r="J80" s="9">
        <v>11000000</v>
      </c>
      <c r="K80" s="58">
        <f>Table1[[#This Row],[Số lượng]]*Table1[[#This Row],[Đơn giá]]</f>
        <v>11000000</v>
      </c>
      <c r="L80" s="138"/>
    </row>
    <row r="81" spans="1:12" x14ac:dyDescent="0.3">
      <c r="A81" s="4" t="str">
        <f>IF(Table1[[#This Row],[Số HĐ]]=BBVC!$R$2,MAX(DATA!A80:A80)+1,"")</f>
        <v/>
      </c>
      <c r="B81" s="5">
        <v>65</v>
      </c>
      <c r="C81" s="62">
        <v>46260</v>
      </c>
      <c r="D81" s="55">
        <v>2500424145</v>
      </c>
      <c r="E81" s="5" t="str">
        <f>VLOOKUP(Table1[[#This Row],[MST]],Table2[#All],2,0)</f>
        <v>CÔNG TY TNHH THIẾT BỊ CÔNG NGHIỆP HTC VĨNH PHÚC</v>
      </c>
      <c r="F81" s="5" t="str">
        <f>VLOOKUP(Table1[[#This Row],[MST]],Table2[#All],3,0)</f>
        <v>Ngõ 07, Đường Lý Thường Kiệt, TDP Lai Sơn, Phường Vĩnh Yên, Tỉnh Phú Thọ</v>
      </c>
      <c r="G81" s="5" t="s">
        <v>402</v>
      </c>
      <c r="H81" s="5" t="s">
        <v>95</v>
      </c>
      <c r="I81" s="5">
        <v>2</v>
      </c>
      <c r="J81" s="9">
        <v>4000000</v>
      </c>
      <c r="K81" s="58">
        <f>Table1[[#This Row],[Số lượng]]*Table1[[#This Row],[Đơn giá]]</f>
        <v>8000000</v>
      </c>
      <c r="L81" s="138"/>
    </row>
    <row r="82" spans="1:12" x14ac:dyDescent="0.3">
      <c r="A82" s="4" t="str">
        <f>IF(Table1[[#This Row],[Số HĐ]]=BBVC!$R$2,MAX(DATA!A81:A81)+1,"")</f>
        <v/>
      </c>
      <c r="B82" s="5">
        <v>65</v>
      </c>
      <c r="C82" s="62">
        <v>46260</v>
      </c>
      <c r="D82" s="55">
        <v>2500424145</v>
      </c>
      <c r="E82" s="5" t="str">
        <f>VLOOKUP(Table1[[#This Row],[MST]],Table2[#All],2,0)</f>
        <v>CÔNG TY TNHH THIẾT BỊ CÔNG NGHIỆP HTC VĨNH PHÚC</v>
      </c>
      <c r="F82" s="5" t="str">
        <f>VLOOKUP(Table1[[#This Row],[MST]],Table2[#All],3,0)</f>
        <v>Ngõ 07, Đường Lý Thường Kiệt, TDP Lai Sơn, Phường Vĩnh Yên, Tỉnh Phú Thọ</v>
      </c>
      <c r="G82" s="5" t="s">
        <v>403</v>
      </c>
      <c r="H82" s="5" t="s">
        <v>95</v>
      </c>
      <c r="I82" s="5">
        <v>1</v>
      </c>
      <c r="J82" s="9">
        <v>4000000</v>
      </c>
      <c r="K82" s="58">
        <f>Table1[[#This Row],[Số lượng]]*Table1[[#This Row],[Đơn giá]]</f>
        <v>4000000</v>
      </c>
      <c r="L82" s="138"/>
    </row>
    <row r="83" spans="1:12" x14ac:dyDescent="0.3">
      <c r="A83" s="4" t="str">
        <f>IF(Table1[[#This Row],[Số HĐ]]=BBVC!$R$2,MAX(DATA!A82:A82)+1,"")</f>
        <v/>
      </c>
      <c r="B83" s="5">
        <v>65</v>
      </c>
      <c r="C83" s="62">
        <v>46260</v>
      </c>
      <c r="D83" s="55">
        <v>2500424145</v>
      </c>
      <c r="E83" s="5" t="str">
        <f>VLOOKUP(Table1[[#This Row],[MST]],Table2[#All],2,0)</f>
        <v>CÔNG TY TNHH THIẾT BỊ CÔNG NGHIỆP HTC VĨNH PHÚC</v>
      </c>
      <c r="F83" s="5" t="str">
        <f>VLOOKUP(Table1[[#This Row],[MST]],Table2[#All],3,0)</f>
        <v>Ngõ 07, Đường Lý Thường Kiệt, TDP Lai Sơn, Phường Vĩnh Yên, Tỉnh Phú Thọ</v>
      </c>
      <c r="G83" s="5" t="s">
        <v>404</v>
      </c>
      <c r="H83" s="5" t="s">
        <v>95</v>
      </c>
      <c r="I83" s="5">
        <v>1</v>
      </c>
      <c r="J83" s="9">
        <v>4000000</v>
      </c>
      <c r="K83" s="58">
        <f>Table1[[#This Row],[Số lượng]]*Table1[[#This Row],[Đơn giá]]</f>
        <v>4000000</v>
      </c>
      <c r="L83" s="138"/>
    </row>
    <row r="84" spans="1:12" x14ac:dyDescent="0.3">
      <c r="A84" s="4" t="str">
        <f>IF(Table1[[#This Row],[Số HĐ]]=BBVC!$R$2,MAX(DATA!A83:A83)+1,"")</f>
        <v/>
      </c>
      <c r="B84" s="5">
        <v>66</v>
      </c>
      <c r="C84" s="62">
        <v>46268</v>
      </c>
      <c r="D84" s="55">
        <v>2500632681</v>
      </c>
      <c r="E84" s="5" t="str">
        <f>VLOOKUP(Table1[[#This Row],[MST]],Table2[#All],2,0)</f>
        <v>CÔNG TY CỔ PHẦN VINOTA</v>
      </c>
      <c r="F84" s="5" t="str">
        <f>VLOOKUP(Table1[[#This Row],[MST]],Table2[#All],3,0)</f>
        <v>Số nhà 169-171 Hàng Bông, Phường Hoàn Kiếm, Thành phố Hà Nội, Việt Nam</v>
      </c>
      <c r="G84" s="5" t="s">
        <v>406</v>
      </c>
      <c r="H84" s="5" t="s">
        <v>95</v>
      </c>
      <c r="I84" s="5">
        <v>1</v>
      </c>
      <c r="J84" s="9">
        <v>1000000</v>
      </c>
      <c r="K84" s="58">
        <f>Table1[[#This Row],[Số lượng]]*Table1[[#This Row],[Đơn giá]]</f>
        <v>1000000</v>
      </c>
      <c r="L84" s="138"/>
    </row>
    <row r="85" spans="1:12" x14ac:dyDescent="0.3">
      <c r="A85" s="4" t="str">
        <f>IF(Table1[[#This Row],[Số HĐ]]=BBVC!$R$2,MAX(DATA!A84:A84)+1,"")</f>
        <v/>
      </c>
      <c r="B85" s="5">
        <v>67</v>
      </c>
      <c r="C85" s="62">
        <v>46274</v>
      </c>
      <c r="D85" s="55" t="s">
        <v>239</v>
      </c>
      <c r="E85" s="5" t="str">
        <f>VLOOKUP(Table1[[#This Row],[MST]],Table2[#All],2,0)</f>
        <v xml:space="preserve">CÔNG TY TNHH TM VÀ DỊCH VỤ TỰ ĐỘNG HÓA THÀNH CÔNG </v>
      </c>
      <c r="F85" s="5" t="str">
        <f>VLOOKUP(Table1[[#This Row],[MST]],Table2[#All],3,0)</f>
        <v>Thửa đất số 171CBĐ 03, Tổ 5 Phường Yên Nghĩa, Thành Phố Hà Nội</v>
      </c>
      <c r="G85" s="5" t="s">
        <v>409</v>
      </c>
      <c r="H85" s="5" t="s">
        <v>95</v>
      </c>
      <c r="I85" s="5">
        <v>1</v>
      </c>
      <c r="J85" s="9">
        <v>10000000</v>
      </c>
      <c r="K85" s="58">
        <f>Table1[[#This Row],[Số lượng]]*Table1[[#This Row],[Đơn giá]]</f>
        <v>10000000</v>
      </c>
      <c r="L85" s="138"/>
    </row>
    <row r="86" spans="1:12" x14ac:dyDescent="0.3">
      <c r="A86" s="4" t="str">
        <f>IF(Table1[[#This Row],[Số HĐ]]=BBVC!$R$2,MAX(DATA!A85:A85)+1,"")</f>
        <v/>
      </c>
      <c r="B86" s="5">
        <v>68</v>
      </c>
      <c r="C86" s="62">
        <v>46275</v>
      </c>
      <c r="D86" s="55" t="s">
        <v>239</v>
      </c>
      <c r="E86" s="5" t="str">
        <f>VLOOKUP(Table1[[#This Row],[MST]],Table2[#All],2,0)</f>
        <v xml:space="preserve">CÔNG TY TNHH TM VÀ DỊCH VỤ TỰ ĐỘNG HÓA THÀNH CÔNG </v>
      </c>
      <c r="F86" s="5" t="str">
        <f>VLOOKUP(Table1[[#This Row],[MST]],Table2[#All],3,0)</f>
        <v>Thửa đất số 171CBĐ 03, Tổ 5 Phường Yên Nghĩa, Thành Phố Hà Nội</v>
      </c>
      <c r="G86" s="5" t="s">
        <v>410</v>
      </c>
      <c r="H86" s="5" t="s">
        <v>95</v>
      </c>
      <c r="I86" s="5">
        <v>1</v>
      </c>
      <c r="J86" s="9">
        <v>5000000</v>
      </c>
      <c r="K86" s="58">
        <f>Table1[[#This Row],[Số lượng]]*Table1[[#This Row],[Đơn giá]]</f>
        <v>5000000</v>
      </c>
      <c r="L86" s="138"/>
    </row>
    <row r="87" spans="1:12" x14ac:dyDescent="0.3">
      <c r="A87" s="4" t="str">
        <f>IF(Table1[[#This Row],[Số HĐ]]=BBVC!$R$2,MAX(DATA!A86:A86)+1,"")</f>
        <v/>
      </c>
      <c r="B87" s="5">
        <v>69</v>
      </c>
      <c r="C87" s="62">
        <v>46283</v>
      </c>
      <c r="D87" s="55">
        <v>2500598864</v>
      </c>
      <c r="E87" s="5" t="str">
        <f>VLOOKUP(Table1[[#This Row],[MST]],Table2[#All],2,0)</f>
        <v>CÔNG TY TNHH CÂN ĐIỆN TỬ THẾ HỆ MỚI</v>
      </c>
      <c r="F87" s="5" t="str">
        <f>VLOOKUP(Table1[[#This Row],[MST]],Table2[#All],3,0)</f>
        <v>Thôn Đồng Lực, Xã Hoàng An, Tỉnh Phú Thọ, Việt Nam</v>
      </c>
      <c r="G87" s="5" t="s">
        <v>411</v>
      </c>
      <c r="H87" s="5" t="s">
        <v>95</v>
      </c>
      <c r="I87" s="5">
        <v>1</v>
      </c>
      <c r="J87" s="9">
        <v>1500000</v>
      </c>
      <c r="K87" s="58">
        <f>Table1[[#This Row],[Số lượng]]*Table1[[#This Row],[Đơn giá]]</f>
        <v>1500000</v>
      </c>
      <c r="L87" s="138"/>
    </row>
    <row r="88" spans="1:12" x14ac:dyDescent="0.3">
      <c r="A88" s="4" t="str">
        <f>IF(Table1[[#This Row],[Số HĐ]]=BBVC!$R$2,MAX(DATA!A87:A87)+1,"")</f>
        <v/>
      </c>
      <c r="B88" s="5">
        <v>69</v>
      </c>
      <c r="C88" s="62">
        <v>46283</v>
      </c>
      <c r="D88" s="55">
        <v>2500598864</v>
      </c>
      <c r="E88" s="5" t="str">
        <f>VLOOKUP(Table1[[#This Row],[MST]],Table2[#All],2,0)</f>
        <v>CÔNG TY TNHH CÂN ĐIỆN TỬ THẾ HỆ MỚI</v>
      </c>
      <c r="F88" s="5" t="str">
        <f>VLOOKUP(Table1[[#This Row],[MST]],Table2[#All],3,0)</f>
        <v>Thôn Đồng Lực, Xã Hoàng An, Tỉnh Phú Thọ, Việt Nam</v>
      </c>
      <c r="G88" s="5" t="s">
        <v>412</v>
      </c>
      <c r="H88" s="5" t="s">
        <v>95</v>
      </c>
      <c r="I88" s="5">
        <v>1</v>
      </c>
      <c r="J88" s="9">
        <v>1500000</v>
      </c>
      <c r="K88" s="58">
        <f>Table1[[#This Row],[Số lượng]]*Table1[[#This Row],[Đơn giá]]</f>
        <v>1500000</v>
      </c>
      <c r="L88" s="138"/>
    </row>
    <row r="89" spans="1:12" x14ac:dyDescent="0.3">
      <c r="A89" s="4" t="str">
        <f>IF(Table1[[#This Row],[Số HĐ]]=BBVC!$R$2,MAX(DATA!A88:A88)+1,"")</f>
        <v/>
      </c>
      <c r="B89" s="5">
        <v>70</v>
      </c>
      <c r="C89" s="62">
        <v>46286</v>
      </c>
      <c r="D89" s="55">
        <v>4601654519</v>
      </c>
      <c r="E89" s="5" t="str">
        <f>VLOOKUP(Table1[[#This Row],[MST]],Table2[#All],2,0)</f>
        <v>CÔNG TY TNHH KHOA HỌC DỊCH VỤ KỸ THUẬT TÂN THỊNH PHÁT</v>
      </c>
      <c r="F89" s="5" t="str">
        <f>VLOOKUP(Table1[[#This Row],[MST]],Table2[#All],3,0)</f>
        <v>Số nhà 37, Tổ 11, Phường Tích Lương, Tỉnh Thái Nguyên, Việt Nam</v>
      </c>
      <c r="G89" s="5" t="s">
        <v>413</v>
      </c>
      <c r="H89" s="5" t="s">
        <v>95</v>
      </c>
      <c r="I89" s="5">
        <v>1</v>
      </c>
      <c r="J89" s="9">
        <v>14000000</v>
      </c>
      <c r="K89" s="58">
        <f>Table1[[#This Row],[Số lượng]]*Table1[[#This Row],[Đơn giá]]</f>
        <v>14000000</v>
      </c>
      <c r="L89" s="138"/>
    </row>
    <row r="90" spans="1:12" x14ac:dyDescent="0.3">
      <c r="A90" s="4" t="str">
        <f>IF(Table1[[#This Row],[Số HĐ]]=BBVC!$R$2,MAX(DATA!A89:A89)+1,"")</f>
        <v/>
      </c>
      <c r="B90" s="5">
        <v>71</v>
      </c>
      <c r="C90" s="62">
        <v>46287</v>
      </c>
      <c r="D90" s="55">
        <v>2500424145</v>
      </c>
      <c r="E90" s="5" t="str">
        <f>VLOOKUP(Table1[[#This Row],[MST]],Table2[#All],2,0)</f>
        <v>CÔNG TY TNHH THIẾT BỊ CÔNG NGHIỆP HTC VĨNH PHÚC</v>
      </c>
      <c r="F90" s="5" t="str">
        <f>VLOOKUP(Table1[[#This Row],[MST]],Table2[#All],3,0)</f>
        <v>Ngõ 07, Đường Lý Thường Kiệt, TDP Lai Sơn, Phường Vĩnh Yên, Tỉnh Phú Thọ</v>
      </c>
      <c r="G90" s="5" t="s">
        <v>414</v>
      </c>
      <c r="H90" s="5" t="s">
        <v>95</v>
      </c>
      <c r="I90" s="5">
        <v>1</v>
      </c>
      <c r="J90" s="9">
        <v>2500000</v>
      </c>
      <c r="K90" s="58">
        <f>Table1[[#This Row],[Số lượng]]*Table1[[#This Row],[Đơn giá]]</f>
        <v>2500000</v>
      </c>
      <c r="L90" s="138"/>
    </row>
    <row r="91" spans="1:12" x14ac:dyDescent="0.3">
      <c r="A91" s="4" t="str">
        <f>IF(Table1[[#This Row],[Số HĐ]]=BBVC!$R$2,MAX(DATA!A90:A90)+1,"")</f>
        <v/>
      </c>
      <c r="B91" s="5">
        <v>72</v>
      </c>
      <c r="C91" s="62">
        <v>46289</v>
      </c>
      <c r="D91" s="55">
        <v>2500598864</v>
      </c>
      <c r="E91" s="5" t="str">
        <f>VLOOKUP(Table1[[#This Row],[MST]],Table2[#All],2,0)</f>
        <v>CÔNG TY TNHH CÂN ĐIỆN TỬ THẾ HỆ MỚI</v>
      </c>
      <c r="F91" s="5" t="str">
        <f>VLOOKUP(Table1[[#This Row],[MST]],Table2[#All],3,0)</f>
        <v>Thôn Đồng Lực, Xã Hoàng An, Tỉnh Phú Thọ, Việt Nam</v>
      </c>
      <c r="G91" s="5" t="s">
        <v>411</v>
      </c>
      <c r="H91" s="5" t="s">
        <v>95</v>
      </c>
      <c r="I91" s="5">
        <v>1</v>
      </c>
      <c r="J91" s="9">
        <v>1500000</v>
      </c>
      <c r="K91" s="58">
        <f>Table1[[#This Row],[Số lượng]]*Table1[[#This Row],[Đơn giá]]</f>
        <v>1500000</v>
      </c>
      <c r="L91" s="138"/>
    </row>
    <row r="92" spans="1:12" x14ac:dyDescent="0.3">
      <c r="A92" s="4" t="str">
        <f>IF(Table1[[#This Row],[Số HĐ]]=BBVC!$R$2,MAX(DATA!A91:A91)+1,"")</f>
        <v/>
      </c>
      <c r="B92" s="5">
        <v>72</v>
      </c>
      <c r="C92" s="62">
        <v>46289</v>
      </c>
      <c r="D92" s="55">
        <v>2500598864</v>
      </c>
      <c r="E92" s="5" t="str">
        <f>VLOOKUP(Table1[[#This Row],[MST]],Table2[#All],2,0)</f>
        <v>CÔNG TY TNHH CÂN ĐIỆN TỬ THẾ HỆ MỚI</v>
      </c>
      <c r="F92" s="5" t="str">
        <f>VLOOKUP(Table1[[#This Row],[MST]],Table2[#All],3,0)</f>
        <v>Thôn Đồng Lực, Xã Hoàng An, Tỉnh Phú Thọ, Việt Nam</v>
      </c>
      <c r="G92" s="5" t="s">
        <v>412</v>
      </c>
      <c r="H92" s="5" t="s">
        <v>95</v>
      </c>
      <c r="I92" s="5">
        <v>1</v>
      </c>
      <c r="J92" s="9">
        <v>1500000</v>
      </c>
      <c r="K92" s="58">
        <f>Table1[[#This Row],[Số lượng]]*Table1[[#This Row],[Đơn giá]]</f>
        <v>1500000</v>
      </c>
      <c r="L92" s="138"/>
    </row>
    <row r="93" spans="1:12" x14ac:dyDescent="0.3">
      <c r="A93" s="4" t="str">
        <f>IF(Table1[[#This Row],[Số HĐ]]=BBVC!$R$2,MAX(DATA!A92:A92)+1,"")</f>
        <v/>
      </c>
      <c r="B93" s="5">
        <v>73</v>
      </c>
      <c r="C93" s="62">
        <v>46290</v>
      </c>
      <c r="D93" s="55">
        <v>2500424145</v>
      </c>
      <c r="E93" s="5" t="str">
        <f>VLOOKUP(Table1[[#This Row],[MST]],Table2[#All],2,0)</f>
        <v>CÔNG TY TNHH THIẾT BỊ CÔNG NGHIỆP HTC VĨNH PHÚC</v>
      </c>
      <c r="F93" s="5" t="str">
        <f>VLOOKUP(Table1[[#This Row],[MST]],Table2[#All],3,0)</f>
        <v>Ngõ 07, Đường Lý Thường Kiệt, TDP Lai Sơn, Phường Vĩnh Yên, Tỉnh Phú Thọ</v>
      </c>
      <c r="G93" s="5" t="s">
        <v>415</v>
      </c>
      <c r="H93" s="5" t="s">
        <v>95</v>
      </c>
      <c r="I93" s="5">
        <v>1</v>
      </c>
      <c r="J93" s="9">
        <v>4000000</v>
      </c>
      <c r="K93" s="58">
        <f>Table1[[#This Row],[Số lượng]]*Table1[[#This Row],[Đơn giá]]</f>
        <v>4000000</v>
      </c>
      <c r="L93" s="138"/>
    </row>
    <row r="94" spans="1:12" x14ac:dyDescent="0.3">
      <c r="A94" s="4" t="str">
        <f>IF(Table1[[#This Row],[Số HĐ]]=BBVC!$R$2,MAX(DATA!A93:A93)+1,"")</f>
        <v/>
      </c>
      <c r="B94" s="5">
        <v>74</v>
      </c>
      <c r="C94" s="62">
        <v>46293</v>
      </c>
      <c r="D94" s="55" t="s">
        <v>239</v>
      </c>
      <c r="E94" s="5" t="str">
        <f>VLOOKUP(Table1[[#This Row],[MST]],Table2[#All],2,0)</f>
        <v xml:space="preserve">CÔNG TY TNHH TM VÀ DỊCH VỤ TỰ ĐỘNG HÓA THÀNH CÔNG </v>
      </c>
      <c r="F94" s="5" t="str">
        <f>VLOOKUP(Table1[[#This Row],[MST]],Table2[#All],3,0)</f>
        <v>Thửa đất số 171CBĐ 03, Tổ 5 Phường Yên Nghĩa, Thành Phố Hà Nội</v>
      </c>
      <c r="G94" s="5" t="s">
        <v>416</v>
      </c>
      <c r="H94" s="5" t="s">
        <v>95</v>
      </c>
      <c r="I94" s="5">
        <v>1</v>
      </c>
      <c r="J94" s="9">
        <v>5000000</v>
      </c>
      <c r="K94" s="58">
        <f>Table1[[#This Row],[Số lượng]]*Table1[[#This Row],[Đơn giá]]</f>
        <v>5000000</v>
      </c>
      <c r="L94" s="138"/>
    </row>
    <row r="95" spans="1:12" x14ac:dyDescent="0.3">
      <c r="A95" s="4" t="str">
        <f>IF(Table1[[#This Row],[Số HĐ]]=BBVC!$R$2,MAX(DATA!A94:A94)+1,"")</f>
        <v/>
      </c>
      <c r="B95" s="5">
        <v>75</v>
      </c>
      <c r="C95" s="62">
        <v>46294</v>
      </c>
      <c r="D95" s="55">
        <v>2500598864</v>
      </c>
      <c r="E95" s="5" t="str">
        <f>VLOOKUP(Table1[[#This Row],[MST]],Table2[#All],2,0)</f>
        <v>CÔNG TY TNHH CÂN ĐIỆN TỬ THẾ HỆ MỚI</v>
      </c>
      <c r="F95" s="5" t="str">
        <f>VLOOKUP(Table1[[#This Row],[MST]],Table2[#All],3,0)</f>
        <v>Thôn Đồng Lực, Xã Hoàng An, Tỉnh Phú Thọ, Việt Nam</v>
      </c>
      <c r="G95" s="5" t="s">
        <v>417</v>
      </c>
      <c r="H95" s="5" t="s">
        <v>95</v>
      </c>
      <c r="I95" s="5">
        <v>1</v>
      </c>
      <c r="J95" s="9">
        <v>16000000</v>
      </c>
      <c r="K95" s="58">
        <f>Table1[[#This Row],[Số lượng]]*Table1[[#This Row],[Đơn giá]]</f>
        <v>16000000</v>
      </c>
      <c r="L95" s="138"/>
    </row>
    <row r="96" spans="1:12" ht="31.2" x14ac:dyDescent="0.3">
      <c r="A96" s="4" t="str">
        <f>IF(Table1[[#This Row],[Số HĐ]]=BBVC!$R$2,MAX(DATA!A95:A95)+1,"")</f>
        <v/>
      </c>
      <c r="B96" s="5">
        <v>76</v>
      </c>
      <c r="C96" s="62">
        <v>46295</v>
      </c>
      <c r="D96" s="55">
        <v>2500424145</v>
      </c>
      <c r="E96" s="5" t="str">
        <f>VLOOKUP(Table1[[#This Row],[MST]],Table2[#All],2,0)</f>
        <v>CÔNG TY TNHH THIẾT BỊ CÔNG NGHIỆP HTC VĨNH PHÚC</v>
      </c>
      <c r="F96" s="5" t="str">
        <f>VLOOKUP(Table1[[#This Row],[MST]],Table2[#All],3,0)</f>
        <v>Ngõ 07, Đường Lý Thường Kiệt, TDP Lai Sơn, Phường Vĩnh Yên, Tỉnh Phú Thọ</v>
      </c>
      <c r="G96" s="136" t="s">
        <v>418</v>
      </c>
      <c r="H96" s="5" t="s">
        <v>95</v>
      </c>
      <c r="I96" s="5">
        <v>1</v>
      </c>
      <c r="J96" s="9">
        <v>2000000</v>
      </c>
      <c r="K96" s="58">
        <f>Table1[[#This Row],[Số lượng]]*Table1[[#This Row],[Đơn giá]]</f>
        <v>2000000</v>
      </c>
      <c r="L96" s="138"/>
    </row>
    <row r="97" spans="1:12" ht="31.2" x14ac:dyDescent="0.3">
      <c r="A97" s="4" t="str">
        <f>IF(Table1[[#This Row],[Số HĐ]]=BBVC!$R$2,MAX(DATA!A96:A96)+1,"")</f>
        <v/>
      </c>
      <c r="B97" s="5">
        <v>76</v>
      </c>
      <c r="C97" s="62">
        <f t="shared" ref="C97:C98" si="0">C96</f>
        <v>46295</v>
      </c>
      <c r="D97" s="55">
        <v>2500424145</v>
      </c>
      <c r="E97" s="5" t="str">
        <f>VLOOKUP(Table1[[#This Row],[MST]],Table2[#All],2,0)</f>
        <v>CÔNG TY TNHH THIẾT BỊ CÔNG NGHIỆP HTC VĨNH PHÚC</v>
      </c>
      <c r="F97" s="5" t="str">
        <f>VLOOKUP(Table1[[#This Row],[MST]],Table2[#All],3,0)</f>
        <v>Ngõ 07, Đường Lý Thường Kiệt, TDP Lai Sơn, Phường Vĩnh Yên, Tỉnh Phú Thọ</v>
      </c>
      <c r="G97" s="136" t="s">
        <v>419</v>
      </c>
      <c r="H97" s="5" t="s">
        <v>95</v>
      </c>
      <c r="I97" s="5">
        <v>1</v>
      </c>
      <c r="J97" s="9">
        <v>2000000</v>
      </c>
      <c r="K97" s="58">
        <f>Table1[[#This Row],[Số lượng]]*Table1[[#This Row],[Đơn giá]]</f>
        <v>2000000</v>
      </c>
      <c r="L97" s="138"/>
    </row>
    <row r="98" spans="1:12" x14ac:dyDescent="0.3">
      <c r="A98" s="4" t="str">
        <f>IF(Table1[[#This Row],[Số HĐ]]=BBVC!$R$2,MAX(DATA!A97:A97)+1,"")</f>
        <v/>
      </c>
      <c r="B98" s="5">
        <v>76</v>
      </c>
      <c r="C98" s="62">
        <f t="shared" si="0"/>
        <v>46295</v>
      </c>
      <c r="D98" s="55">
        <v>2500424145</v>
      </c>
      <c r="E98" s="5" t="str">
        <f>VLOOKUP(Table1[[#This Row],[MST]],Table2[#All],2,0)</f>
        <v>CÔNG TY TNHH THIẾT BỊ CÔNG NGHIỆP HTC VĨNH PHÚC</v>
      </c>
      <c r="F98" s="5" t="str">
        <f>VLOOKUP(Table1[[#This Row],[MST]],Table2[#All],3,0)</f>
        <v>Ngõ 07, Đường Lý Thường Kiệt, TDP Lai Sơn, Phường Vĩnh Yên, Tỉnh Phú Thọ</v>
      </c>
      <c r="G98" s="5" t="s">
        <v>420</v>
      </c>
      <c r="H98" s="5" t="s">
        <v>95</v>
      </c>
      <c r="I98" s="5">
        <v>1</v>
      </c>
      <c r="J98" s="9">
        <v>2000000</v>
      </c>
      <c r="K98" s="58">
        <f>Table1[[#This Row],[Số lượng]]*Table1[[#This Row],[Đơn giá]]</f>
        <v>2000000</v>
      </c>
      <c r="L98" s="138"/>
    </row>
    <row r="99" spans="1:12" ht="31.2" x14ac:dyDescent="0.3">
      <c r="A99" s="4" t="str">
        <f>IF(Table1[[#This Row],[Số HĐ]]=BBVC!$R$2,MAX(DATA!A98:A98)+1,"")</f>
        <v/>
      </c>
      <c r="B99" s="5">
        <v>77</v>
      </c>
      <c r="C99" s="62">
        <v>46298</v>
      </c>
      <c r="D99" s="55">
        <v>2500598864</v>
      </c>
      <c r="E99" s="5" t="str">
        <f>VLOOKUP(Table1[[#This Row],[MST]],Table2[#All],2,0)</f>
        <v>CÔNG TY TNHH CÂN ĐIỆN TỬ THẾ HỆ MỚI</v>
      </c>
      <c r="F99" s="5" t="str">
        <f>VLOOKUP(Table1[[#This Row],[MST]],Table2[#All],3,0)</f>
        <v>Thôn Đồng Lực, Xã Hoàng An, Tỉnh Phú Thọ, Việt Nam</v>
      </c>
      <c r="G99" s="136" t="s">
        <v>421</v>
      </c>
      <c r="H99" s="5" t="s">
        <v>95</v>
      </c>
      <c r="I99" s="5">
        <v>1</v>
      </c>
      <c r="J99" s="9">
        <v>5500000</v>
      </c>
      <c r="K99" s="58">
        <f>Table1[[#This Row],[Số lượng]]*Table1[[#This Row],[Đơn giá]]</f>
        <v>5500000</v>
      </c>
      <c r="L99" s="138"/>
    </row>
    <row r="100" spans="1:12" ht="31.2" x14ac:dyDescent="0.3">
      <c r="A100" s="4" t="str">
        <f>IF(Table1[[#This Row],[Số HĐ]]=BBVC!$R$2,MAX(DATA!A99:A99)+1,"")</f>
        <v/>
      </c>
      <c r="B100" s="5">
        <v>78</v>
      </c>
      <c r="C100" s="62">
        <v>46301</v>
      </c>
      <c r="D100" s="55">
        <v>2601079689</v>
      </c>
      <c r="E100" s="5" t="str">
        <f>VLOOKUP(Table1[[#This Row],[MST]],Table2[#All],2,0)</f>
        <v>CÔNG TY TNHH KĨ THUẬT VÀ THƯƠNG MẠI NTD</v>
      </c>
      <c r="F100" s="5" t="str">
        <f>VLOOKUP(Table1[[#This Row],[MST]],Table2[#All],3,0)</f>
        <v>Tổ 4B, Khu Hương Trầm, Phường Việt Trì, Tỉnh Phú Thọ, Việt Nam</v>
      </c>
      <c r="G100" s="136" t="s">
        <v>422</v>
      </c>
      <c r="H100" s="5" t="s">
        <v>95</v>
      </c>
      <c r="I100" s="5">
        <v>2</v>
      </c>
      <c r="J100" s="9">
        <v>5000000</v>
      </c>
      <c r="K100" s="58">
        <f>Table1[[#This Row],[Số lượng]]*Table1[[#This Row],[Đơn giá]]</f>
        <v>10000000</v>
      </c>
      <c r="L100" s="138"/>
    </row>
    <row r="101" spans="1:12" x14ac:dyDescent="0.3">
      <c r="A101" s="4" t="str">
        <f>IF(Table1[[#This Row],[Số HĐ]]=BBVC!$R$2,MAX(DATA!A100:A100)+1,"")</f>
        <v/>
      </c>
      <c r="B101" s="5">
        <v>79</v>
      </c>
      <c r="C101" s="62">
        <v>46303</v>
      </c>
      <c r="D101" s="55">
        <v>2500598864</v>
      </c>
      <c r="E101" s="5" t="str">
        <f>VLOOKUP(Table1[[#This Row],[MST]],Table2[#All],2,0)</f>
        <v>CÔNG TY TNHH CÂN ĐIỆN TỬ THẾ HỆ MỚI</v>
      </c>
      <c r="F101" s="5" t="str">
        <f>VLOOKUP(Table1[[#This Row],[MST]],Table2[#All],3,0)</f>
        <v>Thôn Đồng Lực, Xã Hoàng An, Tỉnh Phú Thọ, Việt Nam</v>
      </c>
      <c r="G101" s="136" t="s">
        <v>425</v>
      </c>
      <c r="H101" s="5" t="s">
        <v>95</v>
      </c>
      <c r="I101" s="5">
        <v>1</v>
      </c>
      <c r="J101" s="9">
        <v>1500000</v>
      </c>
      <c r="K101" s="58">
        <f>Table1[[#This Row],[Số lượng]]*Table1[[#This Row],[Đơn giá]]</f>
        <v>1500000</v>
      </c>
      <c r="L101" s="138"/>
    </row>
    <row r="102" spans="1:12" x14ac:dyDescent="0.3">
      <c r="A102" s="4" t="str">
        <f>IF(Table1[[#This Row],[Số HĐ]]=BBVC!$R$2,MAX(DATA!A101:A101)+1,"")</f>
        <v/>
      </c>
      <c r="B102" s="5">
        <v>80</v>
      </c>
      <c r="C102" s="62">
        <v>46307</v>
      </c>
      <c r="D102" s="55">
        <v>2500449799</v>
      </c>
      <c r="E102" s="5" t="str">
        <f>VLOOKUP(Table1[[#This Row],[MST]],Table2[#All],2,0)</f>
        <v>CÔNG TY TNHH CÔNG NGHỆ VÀ DỊCH VỤ VIETLIFE</v>
      </c>
      <c r="F102" s="5" t="str">
        <f>VLOOKUP(Table1[[#This Row],[MST]],Table2[#All],3,0)</f>
        <v>Số nhà 04, Ngõ 04, Phố Chiền, Phường Vĩnh Phúc, Tỉnh Phú Thọ, Việt Nam</v>
      </c>
      <c r="G102" s="136" t="s">
        <v>426</v>
      </c>
      <c r="H102" s="5" t="s">
        <v>95</v>
      </c>
      <c r="I102" s="5">
        <v>1</v>
      </c>
      <c r="J102" s="9">
        <v>9000000</v>
      </c>
      <c r="K102" s="58">
        <f>Table1[[#This Row],[Số lượng]]*Table1[[#This Row],[Đơn giá]]</f>
        <v>9000000</v>
      </c>
      <c r="L102" s="138"/>
    </row>
    <row r="103" spans="1:12" x14ac:dyDescent="0.3">
      <c r="A103" s="4" t="str">
        <f>IF(Table1[[#This Row],[Số HĐ]]=BBVC!$R$2,MAX(DATA!A102:A102)+1,"")</f>
        <v/>
      </c>
      <c r="B103" s="5">
        <v>81</v>
      </c>
      <c r="C103" s="62">
        <v>46309</v>
      </c>
      <c r="D103" s="55">
        <v>2601079689</v>
      </c>
      <c r="E103" s="5" t="str">
        <f>VLOOKUP(Table1[[#This Row],[MST]],Table2[#All],2,0)</f>
        <v>CÔNG TY TNHH KĨ THUẬT VÀ THƯƠNG MẠI NTD</v>
      </c>
      <c r="F103" s="5" t="str">
        <f>VLOOKUP(Table1[[#This Row],[MST]],Table2[#All],3,0)</f>
        <v>Tổ 4B, Khu Hương Trầm, Phường Việt Trì, Tỉnh Phú Thọ, Việt Nam</v>
      </c>
      <c r="G103" s="5" t="s">
        <v>427</v>
      </c>
      <c r="H103" s="5" t="s">
        <v>95</v>
      </c>
      <c r="I103" s="5">
        <v>1</v>
      </c>
      <c r="J103" s="9">
        <v>6000000</v>
      </c>
      <c r="K103" s="58">
        <f>Table1[[#This Row],[Số lượng]]*Table1[[#This Row],[Đơn giá]]</f>
        <v>6000000</v>
      </c>
      <c r="L103" s="138"/>
    </row>
    <row r="104" spans="1:12" x14ac:dyDescent="0.3">
      <c r="A104" s="4" t="str">
        <f>IF(Table1[[#This Row],[Số HĐ]]=BBVC!$R$2,MAX(DATA!A103:A103)+1,"")</f>
        <v/>
      </c>
      <c r="B104" s="5">
        <v>82</v>
      </c>
      <c r="C104" s="62">
        <v>46311</v>
      </c>
      <c r="D104" s="55"/>
      <c r="E104" s="5" t="s">
        <v>428</v>
      </c>
      <c r="F104" s="5"/>
      <c r="G104" s="5"/>
      <c r="H104" s="5"/>
      <c r="I104" s="5"/>
      <c r="J104" s="9"/>
      <c r="K104" s="58">
        <f>Table1[[#This Row],[Số lượng]]*Table1[[#This Row],[Đơn giá]]</f>
        <v>0</v>
      </c>
      <c r="L104" s="138"/>
    </row>
    <row r="105" spans="1:12" x14ac:dyDescent="0.3">
      <c r="A105" s="4" t="str">
        <f>IF(Table1[[#This Row],[Số HĐ]]=BBVC!$R$2,MAX(DATA!A104:A104)+1,"")</f>
        <v/>
      </c>
      <c r="B105" s="5">
        <v>83</v>
      </c>
      <c r="C105" s="62">
        <v>46311</v>
      </c>
      <c r="D105" s="55">
        <v>2500598864</v>
      </c>
      <c r="E105" s="5" t="str">
        <f>VLOOKUP(Table1[[#This Row],[MST]],Table2[#All],2,0)</f>
        <v>CÔNG TY TNHH CÂN ĐIỆN TỬ THẾ HỆ MỚI</v>
      </c>
      <c r="F105" s="5" t="str">
        <f>VLOOKUP(Table1[[#This Row],[MST]],Table2[#All],3,0)</f>
        <v>Thôn Đồng Lực, Xã Hoàng An, Tỉnh Phú Thọ, Việt Nam</v>
      </c>
      <c r="G105" s="5" t="s">
        <v>429</v>
      </c>
      <c r="H105" s="5" t="s">
        <v>95</v>
      </c>
      <c r="I105" s="5">
        <v>1</v>
      </c>
      <c r="J105" s="9">
        <v>3000000</v>
      </c>
      <c r="K105" s="58">
        <f>Table1[[#This Row],[Số lượng]]*Table1[[#This Row],[Đơn giá]]</f>
        <v>3000000</v>
      </c>
      <c r="L105" s="138"/>
    </row>
    <row r="106" spans="1:12" x14ac:dyDescent="0.3">
      <c r="A106" s="4" t="str">
        <f>IF(Table1[[#This Row],[Số HĐ]]=BBVC!$R$2,MAX(DATA!A105:A105)+1,"")</f>
        <v/>
      </c>
      <c r="B106" s="5">
        <v>84</v>
      </c>
      <c r="C106" s="62">
        <v>46311</v>
      </c>
      <c r="D106" s="2" t="s">
        <v>430</v>
      </c>
      <c r="E106" s="5" t="str">
        <f>VLOOKUP(Table1[[#This Row],[MST]],Table2[#All],2,0)</f>
        <v>CÔNG TY CỔ PHẦN NGÔI SAO KINH BẮC</v>
      </c>
      <c r="F106" s="5" t="str">
        <f>VLOOKUP(Table1[[#This Row],[MST]],Table2[#All],3,0)</f>
        <v>Khu Quán Trắng, Phường Tiên Du, Thành phố Bắc Ninh, Việt Nam</v>
      </c>
      <c r="G106" s="5" t="s">
        <v>433</v>
      </c>
      <c r="H106" s="5" t="s">
        <v>95</v>
      </c>
      <c r="I106" s="5">
        <v>1</v>
      </c>
      <c r="J106" s="9">
        <v>4000000</v>
      </c>
      <c r="K106" s="58">
        <f>Table1[[#This Row],[Số lượng]]*Table1[[#This Row],[Đơn giá]]</f>
        <v>4000000</v>
      </c>
      <c r="L106" s="138"/>
    </row>
    <row r="107" spans="1:12" x14ac:dyDescent="0.3">
      <c r="A107" s="4" t="str">
        <f>IF(Table1[[#This Row],[Số HĐ]]=BBVC!$R$2,MAX(DATA!A106:A106)+1,"")</f>
        <v/>
      </c>
      <c r="B107" s="5">
        <v>84</v>
      </c>
      <c r="C107" s="62">
        <v>46311</v>
      </c>
      <c r="D107" s="2" t="s">
        <v>430</v>
      </c>
      <c r="E107" s="5" t="str">
        <f>VLOOKUP(Table1[[#This Row],[MST]],Table2[#All],2,0)</f>
        <v>CÔNG TY CỔ PHẦN NGÔI SAO KINH BẮC</v>
      </c>
      <c r="F107" s="5" t="str">
        <f>VLOOKUP(Table1[[#This Row],[MST]],Table2[#All],3,0)</f>
        <v>Khu Quán Trắng, Phường Tiên Du, Thành phố Bắc Ninh, Việt Nam</v>
      </c>
      <c r="G107" s="5" t="s">
        <v>433</v>
      </c>
      <c r="H107" s="5" t="s">
        <v>95</v>
      </c>
      <c r="I107" s="5">
        <v>1</v>
      </c>
      <c r="J107" s="9">
        <v>4000000</v>
      </c>
      <c r="K107" s="58">
        <f>Table1[[#This Row],[Số lượng]]*Table1[[#This Row],[Đơn giá]]</f>
        <v>4000000</v>
      </c>
      <c r="L107" s="138"/>
    </row>
    <row r="108" spans="1:12" x14ac:dyDescent="0.3">
      <c r="A108" s="4" t="str">
        <f>IF(Table1[[#This Row],[Số HĐ]]=BBVC!$R$2,MAX(DATA!A107:A107)+1,"")</f>
        <v/>
      </c>
      <c r="B108" s="5">
        <v>85</v>
      </c>
      <c r="C108" s="62">
        <v>46311</v>
      </c>
      <c r="D108" s="2" t="s">
        <v>430</v>
      </c>
      <c r="E108" s="5" t="str">
        <f>VLOOKUP(Table1[[#This Row],[MST]],Table2[#All],2,0)</f>
        <v>CÔNG TY CỔ PHẦN NGÔI SAO KINH BẮC</v>
      </c>
      <c r="F108" s="5" t="str">
        <f>VLOOKUP(Table1[[#This Row],[MST]],Table2[#All],3,0)</f>
        <v>Khu Quán Trắng, Phường Tiên Du, Thành phố Bắc Ninh, Việt Nam</v>
      </c>
      <c r="G108" s="5" t="s">
        <v>434</v>
      </c>
      <c r="H108" s="5" t="s">
        <v>95</v>
      </c>
      <c r="I108" s="5">
        <v>1</v>
      </c>
      <c r="J108" s="9">
        <v>12000000</v>
      </c>
      <c r="K108" s="58">
        <f>Table1[[#This Row],[Số lượng]]*Table1[[#This Row],[Đơn giá]]</f>
        <v>12000000</v>
      </c>
      <c r="L108" s="138"/>
    </row>
    <row r="109" spans="1:12" x14ac:dyDescent="0.3">
      <c r="A109" s="4" t="str">
        <f>IF(Table1[[#This Row],[Số HĐ]]=BBVC!$R$2,MAX(DATA!A108:A108)+1,"")</f>
        <v/>
      </c>
      <c r="B109" s="5">
        <v>86</v>
      </c>
      <c r="C109" s="62">
        <v>46311</v>
      </c>
      <c r="D109" s="55">
        <v>2500598864</v>
      </c>
      <c r="E109" s="5" t="str">
        <f>VLOOKUP(Table1[[#This Row],[MST]],Table2[#All],2,0)</f>
        <v>CÔNG TY TNHH CÂN ĐIỆN TỬ THẾ HỆ MỚI</v>
      </c>
      <c r="F109" s="5" t="str">
        <f>VLOOKUP(Table1[[#This Row],[MST]],Table2[#All],3,0)</f>
        <v>Thôn Đồng Lực, Xã Hoàng An, Tỉnh Phú Thọ, Việt Nam</v>
      </c>
      <c r="G109" s="5" t="s">
        <v>435</v>
      </c>
      <c r="H109" s="5" t="s">
        <v>95</v>
      </c>
      <c r="I109" s="5">
        <v>1</v>
      </c>
      <c r="J109" s="9">
        <v>5000000</v>
      </c>
      <c r="K109" s="58">
        <f>Table1[[#This Row],[Số lượng]]*Table1[[#This Row],[Đơn giá]]</f>
        <v>5000000</v>
      </c>
      <c r="L109" s="138"/>
    </row>
    <row r="110" spans="1:12" x14ac:dyDescent="0.3">
      <c r="A110" s="183" t="str">
        <f>IF(Table1[[#This Row],[Số HĐ]]=BBVC!$R$2,MAX(DATA!A109:A109)+1,"")</f>
        <v/>
      </c>
      <c r="B110" s="184">
        <v>87</v>
      </c>
      <c r="C110" s="62">
        <v>46315</v>
      </c>
      <c r="D110" s="55" t="s">
        <v>438</v>
      </c>
      <c r="E110" s="184" t="str">
        <f>VLOOKUP(Table1[[#This Row],[MST]],Table2[#All],2,0)</f>
        <v>CÔNG TY TNHH THIẾT BỊ ĐO LƯỜNG ĐỨC PHÚC</v>
      </c>
      <c r="F110" s="184" t="str">
        <f>VLOOKUP(Table1[[#This Row],[MST]],Table2[#All],3,0)</f>
        <v>Phòng 302, Nhà số 8, Ngõ 31 Phố Phương Liệt, Phường Phương Liệt, TP Hà Nội, Việt Nam</v>
      </c>
      <c r="G110" s="136" t="s">
        <v>439</v>
      </c>
      <c r="H110" s="5" t="s">
        <v>95</v>
      </c>
      <c r="I110" s="5">
        <v>1</v>
      </c>
      <c r="J110" s="9">
        <v>15500000</v>
      </c>
      <c r="K110" s="58">
        <f>Table1[[#This Row],[Số lượng]]*Table1[[#This Row],[Đơn giá]]</f>
        <v>15500000</v>
      </c>
      <c r="L110" s="138"/>
    </row>
    <row r="111" spans="1:12" x14ac:dyDescent="0.3">
      <c r="A111" s="4" t="s">
        <v>389</v>
      </c>
      <c r="B111" s="5"/>
      <c r="C111" s="5"/>
      <c r="D111" s="5"/>
      <c r="E111" s="5"/>
      <c r="F111" s="5"/>
      <c r="G111" s="5"/>
      <c r="H111" s="5"/>
      <c r="I111" s="5"/>
      <c r="J111" s="5"/>
      <c r="K111" s="132">
        <f>SUBTOTAL(109,Table1[Thành tiền])</f>
        <v>697750000</v>
      </c>
      <c r="L111" s="137"/>
    </row>
  </sheetData>
  <conditionalFormatting sqref="A7:L8 B9:B50">
    <cfRule type="expression" dxfId="16" priority="4">
      <formula>$A8&lt;&gt;""</formula>
    </cfRule>
  </conditionalFormatting>
  <conditionalFormatting sqref="C9:L9 A9:A10 C10:J10 K10:L19">
    <cfRule type="expression" dxfId="15" priority="7">
      <formula>$A11&lt;&gt;""</formula>
    </cfRule>
  </conditionalFormatting>
  <conditionalFormatting sqref="D106:D108">
    <cfRule type="expression" dxfId="14" priority="1">
      <formula>$C106&lt;&gt;""</formula>
    </cfRule>
  </conditionalFormatting>
  <conditionalFormatting sqref="D21:F21">
    <cfRule type="expression" dxfId="13" priority="3">
      <formula>$A22&lt;&gt;""</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C9AA-1FEB-4997-9713-C02056630CFD}">
  <sheetPr>
    <tabColor rgb="FF92D050"/>
  </sheetPr>
  <dimension ref="A1:S43"/>
  <sheetViews>
    <sheetView workbookViewId="0">
      <pane xSplit="1" ySplit="12" topLeftCell="B19" activePane="bottomRight" state="frozen"/>
      <selection pane="topRight" activeCell="B1" sqref="B1"/>
      <selection pane="bottomLeft" activeCell="A13" sqref="A13"/>
      <selection pane="bottomRight" activeCell="C24" sqref="C24:K24"/>
    </sheetView>
  </sheetViews>
  <sheetFormatPr defaultRowHeight="15.6" x14ac:dyDescent="0.3"/>
  <cols>
    <col min="1" max="1" width="4.77734375" style="11" customWidth="1"/>
    <col min="2" max="2" width="5.33203125" style="11" customWidth="1"/>
    <col min="3" max="3" width="1.6640625" style="11" customWidth="1"/>
    <col min="4" max="4" width="4" style="11" customWidth="1"/>
    <col min="5" max="5" width="11.21875" style="11" customWidth="1"/>
    <col min="6" max="6" width="5.88671875" style="11" customWidth="1"/>
    <col min="7" max="7" width="7.21875" style="11" customWidth="1"/>
    <col min="8" max="8" width="5.109375" style="11" customWidth="1"/>
    <col min="9" max="9" width="3.77734375" style="11" customWidth="1"/>
    <col min="10" max="10" width="5.77734375" style="11" customWidth="1"/>
    <col min="11" max="11" width="3.77734375" style="11" customWidth="1"/>
    <col min="12" max="12" width="7.88671875" style="11" customWidth="1"/>
    <col min="13" max="13" width="7.6640625" style="11" customWidth="1"/>
    <col min="14" max="14" width="11.109375" style="11" customWidth="1"/>
    <col min="15" max="15" width="13.5546875" style="11" customWidth="1"/>
    <col min="16" max="17" width="8.88671875" style="11"/>
    <col min="18" max="18" width="11.21875" style="11" bestFit="1" customWidth="1"/>
    <col min="19" max="16384" width="8.88671875" style="11"/>
  </cols>
  <sheetData>
    <row r="1" spans="2:19" ht="16.8" x14ac:dyDescent="0.3">
      <c r="B1" s="172" t="s">
        <v>14</v>
      </c>
      <c r="C1" s="172"/>
      <c r="D1" s="172"/>
      <c r="E1" s="172"/>
      <c r="F1" s="172"/>
      <c r="G1" s="172"/>
      <c r="H1" s="172"/>
      <c r="I1" s="172"/>
      <c r="J1" s="172"/>
      <c r="K1" s="172"/>
      <c r="L1" s="172"/>
      <c r="M1" s="172"/>
      <c r="N1" s="172"/>
      <c r="O1" s="172"/>
      <c r="P1" s="10"/>
      <c r="Q1" s="10"/>
      <c r="R1" s="10"/>
    </row>
    <row r="2" spans="2:19" ht="16.2" x14ac:dyDescent="0.3">
      <c r="B2" s="173" t="s">
        <v>15</v>
      </c>
      <c r="C2" s="173"/>
      <c r="D2" s="173"/>
      <c r="E2" s="173"/>
      <c r="F2" s="173"/>
      <c r="G2" s="173"/>
      <c r="H2" s="173"/>
      <c r="I2" s="173"/>
      <c r="J2" s="173"/>
      <c r="K2" s="173"/>
      <c r="L2" s="173"/>
      <c r="M2" s="173"/>
      <c r="N2" s="173"/>
      <c r="O2" s="173"/>
      <c r="P2" s="12"/>
      <c r="Q2" s="13" t="s">
        <v>5</v>
      </c>
      <c r="R2" s="6">
        <v>10</v>
      </c>
    </row>
    <row r="3" spans="2:19" ht="8.4" customHeight="1" x14ac:dyDescent="0.3">
      <c r="B3" s="10"/>
      <c r="C3" s="10"/>
      <c r="D3" s="10"/>
    </row>
    <row r="4" spans="2:19" ht="21" x14ac:dyDescent="0.3">
      <c r="B4" s="174" t="s">
        <v>16</v>
      </c>
      <c r="C4" s="174"/>
      <c r="D4" s="174"/>
      <c r="E4" s="174"/>
      <c r="F4" s="174"/>
      <c r="G4" s="174"/>
      <c r="H4" s="174"/>
      <c r="I4" s="174"/>
      <c r="J4" s="174"/>
      <c r="K4" s="174"/>
      <c r="L4" s="174"/>
      <c r="M4" s="174"/>
      <c r="N4" s="174"/>
      <c r="O4" s="174"/>
      <c r="P4" s="10"/>
      <c r="Q4" s="10"/>
      <c r="R4" s="26">
        <f>IFERROR(VLOOKUP($R$2,Table1[[#All],[Số HĐ]:[Thành tiền]],2,0),"")</f>
        <v>46165</v>
      </c>
      <c r="S4" s="130" t="s">
        <v>401</v>
      </c>
    </row>
    <row r="5" spans="2:19" x14ac:dyDescent="0.3">
      <c r="B5" s="13"/>
      <c r="C5" s="13"/>
      <c r="D5" s="13"/>
      <c r="E5" s="13"/>
      <c r="F5" s="13"/>
      <c r="H5" s="27" t="s">
        <v>42</v>
      </c>
      <c r="I5" s="13" t="str">
        <f>S4&amp;""&amp;0&amp;""&amp;S5&amp;"/"&amp;"2026"&amp;"/BBVC"</f>
        <v>2305/2026/BBVC</v>
      </c>
      <c r="J5" s="13"/>
      <c r="K5" s="13"/>
      <c r="L5" s="13"/>
      <c r="M5" s="13"/>
      <c r="N5" s="13"/>
      <c r="O5" s="13"/>
      <c r="P5" s="13"/>
      <c r="Q5" s="13"/>
      <c r="R5" s="13"/>
      <c r="S5" s="77">
        <f>MONTH(R4)</f>
        <v>5</v>
      </c>
    </row>
    <row r="6" spans="2:19" ht="7.8" customHeight="1" x14ac:dyDescent="0.3">
      <c r="B6" s="16"/>
      <c r="C6" s="16"/>
      <c r="D6" s="16"/>
      <c r="E6" s="16"/>
      <c r="F6" s="16"/>
      <c r="G6" s="16"/>
      <c r="H6" s="16"/>
      <c r="I6" s="16"/>
      <c r="J6" s="16"/>
      <c r="K6" s="16"/>
      <c r="L6" s="16"/>
      <c r="M6" s="16"/>
      <c r="N6" s="16"/>
      <c r="O6" s="16"/>
      <c r="P6" s="13"/>
      <c r="Q6" s="13"/>
      <c r="R6" s="13"/>
    </row>
    <row r="7" spans="2:19" x14ac:dyDescent="0.3">
      <c r="C7" s="13"/>
      <c r="D7" s="27" t="s">
        <v>78</v>
      </c>
      <c r="E7" s="81">
        <f>R4</f>
        <v>46165</v>
      </c>
      <c r="F7" s="82"/>
      <c r="G7" s="82"/>
      <c r="H7" s="11" t="s">
        <v>230</v>
      </c>
    </row>
    <row r="8" spans="2:19" x14ac:dyDescent="0.3">
      <c r="B8" s="10" t="s">
        <v>248</v>
      </c>
      <c r="C8" s="10"/>
      <c r="D8" s="10"/>
      <c r="G8" s="57" t="s">
        <v>247</v>
      </c>
      <c r="H8" s="14"/>
      <c r="J8" s="14"/>
    </row>
    <row r="9" spans="2:19" x14ac:dyDescent="0.3">
      <c r="B9" s="163" t="s">
        <v>7</v>
      </c>
      <c r="C9" s="163"/>
      <c r="D9" s="163"/>
      <c r="E9" s="171">
        <v>2500774911</v>
      </c>
      <c r="F9" s="171"/>
      <c r="G9" s="13"/>
      <c r="H9" s="13"/>
      <c r="I9" s="13"/>
      <c r="J9" s="13"/>
      <c r="K9" s="13"/>
    </row>
    <row r="10" spans="2:19" x14ac:dyDescent="0.3">
      <c r="B10" s="163" t="s">
        <v>2</v>
      </c>
      <c r="C10" s="163"/>
      <c r="D10" s="163"/>
      <c r="E10" s="11" t="s">
        <v>24</v>
      </c>
      <c r="F10" s="13"/>
      <c r="G10" s="13"/>
      <c r="H10" s="13"/>
      <c r="I10" s="13"/>
      <c r="J10" s="13"/>
      <c r="K10" s="13"/>
    </row>
    <row r="11" spans="2:19" x14ac:dyDescent="0.3">
      <c r="B11" s="163" t="s">
        <v>17</v>
      </c>
      <c r="C11" s="163"/>
      <c r="D11" s="163"/>
      <c r="E11" s="10" t="s">
        <v>25</v>
      </c>
      <c r="L11" s="13" t="s">
        <v>39</v>
      </c>
    </row>
    <row r="12" spans="2:19" x14ac:dyDescent="0.3">
      <c r="B12" s="163" t="s">
        <v>18</v>
      </c>
      <c r="C12" s="163"/>
      <c r="D12" s="163"/>
      <c r="E12" s="13" t="s">
        <v>84</v>
      </c>
      <c r="L12" s="13"/>
    </row>
    <row r="13" spans="2:19" ht="4.8" customHeight="1" x14ac:dyDescent="0.3">
      <c r="F13" s="13"/>
      <c r="G13" s="13"/>
      <c r="H13" s="13"/>
      <c r="I13" s="13"/>
      <c r="J13" s="13"/>
      <c r="K13" s="13"/>
      <c r="L13" s="13"/>
    </row>
    <row r="14" spans="2:19" ht="31.8" customHeight="1" x14ac:dyDescent="0.3">
      <c r="B14" s="170" t="s">
        <v>375</v>
      </c>
      <c r="C14" s="170"/>
      <c r="D14" s="170"/>
      <c r="E14" s="170"/>
      <c r="F14" s="170"/>
      <c r="G14" s="161" t="str">
        <f>IFERROR(VLOOKUP($R$2,Table1[[#All],[Số HĐ]:[Thành tiền]],4,0),"")</f>
        <v>CÔNG TY CỔ PHẦN TECON88</v>
      </c>
      <c r="H14" s="161"/>
      <c r="I14" s="161"/>
      <c r="J14" s="161"/>
      <c r="K14" s="161"/>
      <c r="L14" s="161"/>
      <c r="M14" s="161"/>
      <c r="N14" s="161"/>
      <c r="O14" s="161"/>
    </row>
    <row r="15" spans="2:19" x14ac:dyDescent="0.3">
      <c r="B15" s="163" t="s">
        <v>36</v>
      </c>
      <c r="C15" s="163"/>
      <c r="D15" s="163"/>
      <c r="E15" s="162">
        <f>IFERROR(VLOOKUP($R$2,Table1[[#All],[Số HĐ]:[Thành tiền]],3,0),"")</f>
        <v>2500708852</v>
      </c>
      <c r="F15" s="162"/>
      <c r="G15" s="162"/>
      <c r="H15" s="15"/>
      <c r="I15" s="13"/>
      <c r="J15" s="13"/>
      <c r="K15" s="13"/>
      <c r="L15" s="13"/>
      <c r="M15" s="13"/>
      <c r="N15" s="13"/>
      <c r="O15" s="13"/>
      <c r="P15" s="13"/>
      <c r="Q15" s="13"/>
      <c r="R15" s="13"/>
    </row>
    <row r="16" spans="2:19" x14ac:dyDescent="0.3">
      <c r="B16" s="163" t="s">
        <v>9</v>
      </c>
      <c r="C16" s="163"/>
      <c r="D16" s="163"/>
      <c r="E16" s="13" t="str">
        <f>IFERROR(VLOOKUP($R$2,Table1[[#All],[Số HĐ]:[Thành tiền]],5,0),"")</f>
        <v>Số 59 Đường Quang Trung, Phố Tiên, Phường Vĩnh Yên, Tỉnh Phú Thọ, Việt Nam</v>
      </c>
      <c r="F16" s="13"/>
      <c r="G16" s="13"/>
      <c r="H16" s="13"/>
      <c r="I16" s="13"/>
      <c r="J16" s="13"/>
      <c r="K16" s="13"/>
      <c r="L16" s="13"/>
      <c r="M16" s="13"/>
      <c r="N16" s="13"/>
      <c r="O16" s="13"/>
      <c r="P16" s="13"/>
      <c r="Q16" s="13"/>
      <c r="R16" s="13"/>
    </row>
    <row r="17" spans="1:18" x14ac:dyDescent="0.3">
      <c r="B17" s="163" t="s">
        <v>17</v>
      </c>
      <c r="C17" s="163"/>
      <c r="D17" s="163"/>
      <c r="E17" s="10"/>
      <c r="L17" s="13" t="s">
        <v>38</v>
      </c>
    </row>
    <row r="18" spans="1:18" ht="10.199999999999999" customHeight="1" x14ac:dyDescent="0.3">
      <c r="B18" s="163"/>
      <c r="C18" s="163"/>
      <c r="D18" s="163"/>
      <c r="E18" s="13"/>
    </row>
    <row r="19" spans="1:18" x14ac:dyDescent="0.3">
      <c r="B19" s="10" t="s">
        <v>45</v>
      </c>
      <c r="C19" s="10"/>
      <c r="D19" s="10"/>
    </row>
    <row r="20" spans="1:18" x14ac:dyDescent="0.3">
      <c r="B20" s="13" t="s">
        <v>43</v>
      </c>
      <c r="C20" s="13"/>
      <c r="D20" s="13"/>
      <c r="E20" s="13"/>
      <c r="F20" s="13"/>
      <c r="G20" s="13"/>
      <c r="H20" s="13"/>
      <c r="I20" s="13"/>
      <c r="J20" s="13"/>
      <c r="K20" s="13"/>
      <c r="L20" s="13"/>
      <c r="M20" s="13"/>
      <c r="N20" s="13"/>
      <c r="O20" s="13"/>
      <c r="P20" s="13"/>
      <c r="Q20" s="13"/>
      <c r="R20" s="13"/>
    </row>
    <row r="21" spans="1:18" x14ac:dyDescent="0.3">
      <c r="B21" s="15" t="s">
        <v>231</v>
      </c>
      <c r="C21" s="15"/>
      <c r="D21" s="15"/>
      <c r="E21" s="16"/>
      <c r="F21" s="16"/>
      <c r="G21" s="16"/>
      <c r="H21" s="16"/>
      <c r="I21" s="16"/>
      <c r="J21" s="16"/>
      <c r="K21" s="16"/>
      <c r="L21" s="16"/>
      <c r="M21" s="16"/>
      <c r="N21" s="16"/>
      <c r="O21" s="16"/>
      <c r="P21" s="16"/>
      <c r="Q21" s="16"/>
      <c r="R21" s="16"/>
    </row>
    <row r="22" spans="1:18" ht="7.2" customHeight="1" thickBot="1" x14ac:dyDescent="0.35">
      <c r="B22" s="16"/>
      <c r="C22" s="16"/>
      <c r="D22" s="16"/>
      <c r="E22" s="16"/>
      <c r="F22" s="16"/>
      <c r="G22" s="16"/>
      <c r="H22" s="16"/>
      <c r="I22" s="16"/>
      <c r="J22" s="16"/>
      <c r="K22" s="16"/>
      <c r="L22" s="16"/>
      <c r="M22" s="16"/>
      <c r="N22" s="16"/>
      <c r="O22" s="16"/>
      <c r="P22" s="16"/>
      <c r="Q22" s="16"/>
      <c r="R22" s="16"/>
    </row>
    <row r="23" spans="1:18" ht="36" customHeight="1" thickBot="1" x14ac:dyDescent="0.35">
      <c r="B23" s="17" t="s">
        <v>26</v>
      </c>
      <c r="C23" s="164" t="s">
        <v>41</v>
      </c>
      <c r="D23" s="165"/>
      <c r="E23" s="165"/>
      <c r="F23" s="165"/>
      <c r="G23" s="165"/>
      <c r="H23" s="165"/>
      <c r="I23" s="165"/>
      <c r="J23" s="165"/>
      <c r="K23" s="166"/>
      <c r="L23" s="18" t="s">
        <v>10</v>
      </c>
      <c r="M23" s="18" t="s">
        <v>11</v>
      </c>
      <c r="N23" s="18" t="s">
        <v>13</v>
      </c>
      <c r="O23" s="18" t="s">
        <v>12</v>
      </c>
    </row>
    <row r="24" spans="1:18" ht="31.2" customHeight="1" thickBot="1" x14ac:dyDescent="0.35">
      <c r="A24" s="11">
        <v>1</v>
      </c>
      <c r="B24" s="19">
        <v>1</v>
      </c>
      <c r="C24" s="167" t="str">
        <f>IFERROR(VLOOKUP(A24,DATA!A7:K2543,7,0),"")</f>
        <v>Cước vận chuyển thép hình từ Tề Lỗ, Phú Thọ đến Phường Vĩnh Yên, Phú Thọ</v>
      </c>
      <c r="D24" s="168"/>
      <c r="E24" s="168"/>
      <c r="F24" s="168"/>
      <c r="G24" s="168"/>
      <c r="H24" s="168"/>
      <c r="I24" s="168"/>
      <c r="J24" s="168"/>
      <c r="K24" s="169"/>
      <c r="L24" s="134" t="str">
        <f>IFERROR(VLOOKUP(A24,DATA!A7:K110,8,0),"")</f>
        <v>Chuyến</v>
      </c>
      <c r="M24" s="133">
        <f>IFERROR(VLOOKUP(A24,DATA!A7:K110,9,0),"")</f>
        <v>1</v>
      </c>
      <c r="N24" s="135">
        <f>IFERROR(VLOOKUP(A24,DATA!A7:K110,10,0),"")</f>
        <v>2000000</v>
      </c>
      <c r="O24" s="135">
        <f>IFERROR(VLOOKUP(A24,DATA!A7:K110,11,0),"")</f>
        <v>2000000</v>
      </c>
    </row>
    <row r="25" spans="1:18" ht="31.2" hidden="1" customHeight="1" thickBot="1" x14ac:dyDescent="0.35">
      <c r="A25" s="11">
        <v>2</v>
      </c>
      <c r="B25" s="19">
        <v>2</v>
      </c>
      <c r="C25" s="167" t="str">
        <f>IFERROR(VLOOKUP(A25,DATA!A8:K2544,7,0),"")</f>
        <v/>
      </c>
      <c r="D25" s="168"/>
      <c r="E25" s="168"/>
      <c r="F25" s="168"/>
      <c r="G25" s="168"/>
      <c r="H25" s="168"/>
      <c r="I25" s="168"/>
      <c r="J25" s="168"/>
      <c r="K25" s="169"/>
      <c r="L25" s="134" t="str">
        <f>IFERROR(VLOOKUP(A25,DATA!A8:K110,8,0),"")</f>
        <v/>
      </c>
      <c r="M25" s="133" t="str">
        <f>IFERROR(VLOOKUP(A25,DATA!A8:K110,9,0),"")</f>
        <v/>
      </c>
      <c r="N25" s="135" t="str">
        <f>IFERROR(VLOOKUP(A25,DATA!A8:K110,10,0),"")</f>
        <v/>
      </c>
      <c r="O25" s="135" t="str">
        <f>IFERROR(VLOOKUP(A25,DATA!A8:K110,11,0),"")</f>
        <v/>
      </c>
    </row>
    <row r="26" spans="1:18" ht="18" customHeight="1" thickBot="1" x14ac:dyDescent="0.35">
      <c r="A26" s="11">
        <v>3</v>
      </c>
      <c r="B26" s="19"/>
      <c r="C26" s="167" t="str">
        <f>IFERROR(VLOOKUP(A26,DATA!A9:K12,7,0),"")</f>
        <v/>
      </c>
      <c r="D26" s="168"/>
      <c r="E26" s="168"/>
      <c r="F26" s="168"/>
      <c r="G26" s="168"/>
      <c r="H26" s="168"/>
      <c r="I26" s="168"/>
      <c r="J26" s="168"/>
      <c r="K26" s="169"/>
      <c r="L26" s="20" t="str">
        <f>IFERROR(VLOOKUP(A26,DATA!A9:K12,8,0),"")</f>
        <v/>
      </c>
      <c r="M26" s="21" t="str">
        <f>IFERROR(VLOOKUP(A26,DATA!A9:K12,9,0),"")</f>
        <v/>
      </c>
      <c r="N26" s="22" t="str">
        <f>IFERROR(VLOOKUP(A26,DATA!A9:K12,10,0),"")</f>
        <v/>
      </c>
      <c r="O26" s="22" t="str">
        <f>IFERROR(VLOOKUP(A26,DATA!A9:K12,11,0),"")</f>
        <v/>
      </c>
    </row>
    <row r="27" spans="1:18" ht="19.95" customHeight="1" thickBot="1" x14ac:dyDescent="0.35">
      <c r="B27" s="164" t="s">
        <v>19</v>
      </c>
      <c r="C27" s="165"/>
      <c r="D27" s="165"/>
      <c r="E27" s="165"/>
      <c r="F27" s="165"/>
      <c r="G27" s="165"/>
      <c r="H27" s="165"/>
      <c r="I27" s="165"/>
      <c r="J27" s="165"/>
      <c r="K27" s="165"/>
      <c r="L27" s="165"/>
      <c r="M27" s="165"/>
      <c r="N27" s="166"/>
      <c r="O27" s="23">
        <f>SUM(O24:O26)</f>
        <v>2000000</v>
      </c>
    </row>
    <row r="28" spans="1:18" ht="19.95" customHeight="1" thickBot="1" x14ac:dyDescent="0.35">
      <c r="B28" s="164" t="s">
        <v>27</v>
      </c>
      <c r="C28" s="165"/>
      <c r="D28" s="165"/>
      <c r="E28" s="165"/>
      <c r="F28" s="165"/>
      <c r="G28" s="165"/>
      <c r="H28" s="165"/>
      <c r="I28" s="165"/>
      <c r="J28" s="165"/>
      <c r="K28" s="165"/>
      <c r="L28" s="165"/>
      <c r="M28" s="165"/>
      <c r="N28" s="166"/>
      <c r="O28" s="23">
        <f>O27*8%</f>
        <v>160000</v>
      </c>
    </row>
    <row r="29" spans="1:18" ht="19.95" customHeight="1" thickBot="1" x14ac:dyDescent="0.35">
      <c r="B29" s="164" t="s">
        <v>20</v>
      </c>
      <c r="C29" s="165"/>
      <c r="D29" s="165"/>
      <c r="E29" s="165"/>
      <c r="F29" s="165"/>
      <c r="G29" s="165"/>
      <c r="H29" s="165"/>
      <c r="I29" s="165"/>
      <c r="J29" s="165"/>
      <c r="K29" s="165"/>
      <c r="L29" s="165"/>
      <c r="M29" s="165"/>
      <c r="N29" s="166"/>
      <c r="O29" s="23">
        <f>O27+O28</f>
        <v>2160000</v>
      </c>
    </row>
    <row r="30" spans="1:18" x14ac:dyDescent="0.3">
      <c r="B30" s="14" t="s">
        <v>30</v>
      </c>
      <c r="C30" s="10"/>
      <c r="D30" s="10"/>
      <c r="F30" s="11" t="str">
        <f>[1]!VND(BBVC!O29, TRUE,1,"đồng","xu")</f>
        <v>Hai triệu, một trăm sáu mươi ngàn đồng</v>
      </c>
    </row>
    <row r="31" spans="1:18" ht="7.8" customHeight="1" x14ac:dyDescent="0.3">
      <c r="C31" s="10"/>
      <c r="D31" s="10"/>
    </row>
    <row r="32" spans="1:18" x14ac:dyDescent="0.3">
      <c r="B32" s="10" t="s">
        <v>46</v>
      </c>
      <c r="C32" s="10"/>
      <c r="D32" s="10"/>
    </row>
    <row r="33" spans="2:15" x14ac:dyDescent="0.3">
      <c r="B33" s="162" t="s">
        <v>28</v>
      </c>
      <c r="C33" s="162"/>
      <c r="D33" s="162"/>
      <c r="E33" s="162"/>
      <c r="F33" s="162"/>
      <c r="G33" s="162"/>
      <c r="H33" s="162"/>
      <c r="I33" s="162"/>
      <c r="J33" s="162"/>
      <c r="K33" s="162"/>
      <c r="L33" s="162"/>
      <c r="M33" s="162"/>
      <c r="N33" s="162"/>
      <c r="O33" s="162"/>
    </row>
    <row r="34" spans="2:15" x14ac:dyDescent="0.3">
      <c r="B34" s="15" t="s">
        <v>29</v>
      </c>
      <c r="C34" s="15"/>
      <c r="D34" s="15"/>
      <c r="E34" s="15"/>
      <c r="F34" s="15"/>
      <c r="G34" s="15"/>
      <c r="H34" s="15"/>
      <c r="I34" s="15"/>
      <c r="J34" s="15"/>
      <c r="K34" s="15"/>
      <c r="L34" s="15"/>
      <c r="M34" s="15"/>
      <c r="N34" s="15"/>
      <c r="O34" s="15"/>
    </row>
    <row r="35" spans="2:15" x14ac:dyDescent="0.3">
      <c r="B35" s="162" t="s">
        <v>44</v>
      </c>
      <c r="C35" s="162"/>
      <c r="D35" s="162"/>
      <c r="E35" s="162"/>
      <c r="F35" s="162"/>
      <c r="G35" s="162"/>
      <c r="H35" s="162"/>
      <c r="I35" s="162"/>
      <c r="J35" s="162"/>
      <c r="K35" s="162"/>
      <c r="L35" s="162"/>
      <c r="M35" s="162"/>
      <c r="N35" s="162"/>
      <c r="O35" s="162"/>
    </row>
    <row r="36" spans="2:15" ht="7.2" customHeight="1" x14ac:dyDescent="0.3">
      <c r="B36" s="15"/>
      <c r="C36" s="15"/>
      <c r="D36" s="15"/>
      <c r="E36" s="15"/>
      <c r="F36" s="15"/>
      <c r="G36" s="15"/>
      <c r="H36" s="15"/>
      <c r="I36" s="15"/>
      <c r="J36" s="15"/>
      <c r="K36" s="15"/>
      <c r="L36" s="15"/>
      <c r="M36" s="15"/>
      <c r="N36" s="15"/>
      <c r="O36" s="15"/>
    </row>
    <row r="37" spans="2:15" ht="19.95" customHeight="1" x14ac:dyDescent="0.3">
      <c r="C37" s="28"/>
      <c r="E37" s="170" t="s">
        <v>391</v>
      </c>
      <c r="F37" s="170"/>
      <c r="G37" s="170"/>
      <c r="H37" s="24"/>
      <c r="I37" s="24"/>
      <c r="J37" s="24"/>
      <c r="K37" s="24"/>
      <c r="M37" s="177" t="s">
        <v>23</v>
      </c>
      <c r="N37" s="177"/>
    </row>
    <row r="38" spans="2:15" ht="19.95" customHeight="1" x14ac:dyDescent="0.3">
      <c r="C38" s="28"/>
      <c r="E38" s="175" t="s">
        <v>396</v>
      </c>
      <c r="F38" s="175"/>
      <c r="G38" s="175"/>
      <c r="H38" s="24"/>
      <c r="I38" s="24"/>
      <c r="J38" s="24"/>
      <c r="K38" s="24"/>
      <c r="M38" s="176" t="s">
        <v>395</v>
      </c>
      <c r="N38" s="176"/>
    </row>
    <row r="39" spans="2:15" ht="15" customHeight="1" x14ac:dyDescent="0.3">
      <c r="B39" s="25"/>
      <c r="C39" s="25"/>
      <c r="D39" s="25"/>
    </row>
    <row r="40" spans="2:15" ht="15" customHeight="1" x14ac:dyDescent="0.3">
      <c r="B40" s="25"/>
      <c r="C40" s="25"/>
      <c r="D40" s="25"/>
    </row>
    <row r="41" spans="2:15" ht="15" customHeight="1" x14ac:dyDescent="0.3"/>
    <row r="42" spans="2:15" ht="15" customHeight="1" x14ac:dyDescent="0.3"/>
    <row r="43" spans="2:15" x14ac:dyDescent="0.3">
      <c r="D43" s="110" t="s">
        <v>392</v>
      </c>
    </row>
  </sheetData>
  <mergeCells count="28">
    <mergeCell ref="E38:G38"/>
    <mergeCell ref="M38:N38"/>
    <mergeCell ref="E37:G37"/>
    <mergeCell ref="B18:D18"/>
    <mergeCell ref="B27:N27"/>
    <mergeCell ref="B28:N28"/>
    <mergeCell ref="B29:N29"/>
    <mergeCell ref="M37:N37"/>
    <mergeCell ref="B33:O33"/>
    <mergeCell ref="B35:O35"/>
    <mergeCell ref="C25:K25"/>
    <mergeCell ref="C26:K26"/>
    <mergeCell ref="E9:F9"/>
    <mergeCell ref="B1:O1"/>
    <mergeCell ref="B2:O2"/>
    <mergeCell ref="B4:O4"/>
    <mergeCell ref="B9:D9"/>
    <mergeCell ref="G14:O14"/>
    <mergeCell ref="E15:G15"/>
    <mergeCell ref="B10:D10"/>
    <mergeCell ref="C23:K23"/>
    <mergeCell ref="C24:K24"/>
    <mergeCell ref="B11:D11"/>
    <mergeCell ref="B15:D15"/>
    <mergeCell ref="B12:D12"/>
    <mergeCell ref="B17:D17"/>
    <mergeCell ref="B16:D16"/>
    <mergeCell ref="B14:F14"/>
  </mergeCells>
  <pageMargins left="0.45" right="0.44" top="0.44" bottom="0.75" header="0.4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4D2F0A6-FDE9-4AD3-9A02-6E18BCFB49FA}">
          <x14:formula1>
            <xm:f>DSKH!$A$7:$A$8000</xm:f>
          </x14:formula1>
          <xm:sqref>R2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5FA7-4E24-4131-9990-013806091105}">
  <dimension ref="A1:Q49"/>
  <sheetViews>
    <sheetView workbookViewId="0">
      <selection activeCell="O26" sqref="O26"/>
    </sheetView>
  </sheetViews>
  <sheetFormatPr defaultRowHeight="13.8" x14ac:dyDescent="0.25"/>
  <cols>
    <col min="1" max="1" width="9" style="1" customWidth="1"/>
    <col min="2" max="3" width="3.5546875" style="1" customWidth="1"/>
    <col min="4" max="4" width="1.5546875" style="1" customWidth="1"/>
    <col min="5" max="5" width="6.44140625" style="1" customWidth="1"/>
    <col min="6" max="6" width="5.88671875" style="1" customWidth="1"/>
    <col min="7" max="7" width="2.109375" style="1" customWidth="1"/>
    <col min="8" max="8" width="1.77734375" style="1" customWidth="1"/>
    <col min="9" max="13" width="8.88671875" style="1"/>
    <col min="14" max="14" width="13.21875" style="1" customWidth="1"/>
    <col min="15" max="16" width="8.88671875" style="1"/>
    <col min="17" max="17" width="20.77734375" style="1" customWidth="1"/>
    <col min="18" max="16384" width="8.88671875" style="1"/>
  </cols>
  <sheetData>
    <row r="1" spans="1:17" ht="16.8" x14ac:dyDescent="0.25">
      <c r="A1" s="65" t="s">
        <v>177</v>
      </c>
      <c r="B1" s="65"/>
      <c r="C1" s="65"/>
      <c r="D1" s="65"/>
      <c r="E1" s="66"/>
      <c r="F1" s="66"/>
      <c r="G1" s="66"/>
      <c r="H1" s="66"/>
      <c r="I1" s="66"/>
      <c r="J1" s="66"/>
      <c r="K1" s="66"/>
      <c r="L1" s="66"/>
      <c r="M1" s="66"/>
      <c r="N1" s="66"/>
      <c r="O1" s="66"/>
      <c r="P1" s="31" t="s">
        <v>75</v>
      </c>
      <c r="Q1" s="38">
        <v>28</v>
      </c>
    </row>
    <row r="2" spans="1:17" ht="16.8" x14ac:dyDescent="0.25">
      <c r="A2" s="65" t="s">
        <v>178</v>
      </c>
      <c r="B2" s="65"/>
      <c r="C2" s="65"/>
      <c r="D2" s="65"/>
      <c r="E2" s="66"/>
      <c r="F2" s="66"/>
      <c r="G2" s="66"/>
      <c r="H2" s="66"/>
      <c r="I2" s="66"/>
      <c r="J2" s="66"/>
      <c r="K2" s="66"/>
      <c r="L2" s="66"/>
      <c r="M2" s="66"/>
      <c r="N2" s="66"/>
      <c r="O2" s="66"/>
      <c r="P2" s="31" t="s">
        <v>76</v>
      </c>
      <c r="Q2" s="49" t="s">
        <v>80</v>
      </c>
    </row>
    <row r="3" spans="1:17" ht="7.2" customHeight="1" x14ac:dyDescent="0.25">
      <c r="P3" s="31" t="s">
        <v>77</v>
      </c>
      <c r="Q3" s="31"/>
    </row>
    <row r="4" spans="1:17" ht="5.4" customHeight="1" x14ac:dyDescent="0.3">
      <c r="P4" s="30"/>
      <c r="Q4" s="30"/>
    </row>
    <row r="5" spans="1:17" ht="20.399999999999999" x14ac:dyDescent="0.3">
      <c r="A5" s="67" t="s">
        <v>179</v>
      </c>
      <c r="B5" s="67"/>
      <c r="C5" s="67"/>
      <c r="D5" s="67"/>
      <c r="E5" s="67"/>
      <c r="F5" s="67"/>
      <c r="G5" s="67"/>
      <c r="H5" s="67"/>
      <c r="I5" s="67"/>
      <c r="J5" s="67"/>
      <c r="K5" s="67"/>
      <c r="L5" s="67"/>
      <c r="M5" s="67"/>
      <c r="N5" s="67"/>
      <c r="O5" s="67"/>
      <c r="P5" s="33" t="s">
        <v>35</v>
      </c>
      <c r="Q5" s="29">
        <v>2600706055</v>
      </c>
    </row>
    <row r="6" spans="1:17" ht="9" customHeight="1" x14ac:dyDescent="0.3">
      <c r="A6" s="67"/>
      <c r="B6" s="67"/>
      <c r="C6" s="67"/>
      <c r="D6" s="67"/>
      <c r="E6" s="67"/>
      <c r="F6" s="67"/>
      <c r="G6" s="67"/>
      <c r="H6" s="67"/>
      <c r="I6" s="67"/>
      <c r="J6" s="67"/>
      <c r="K6" s="67"/>
      <c r="L6" s="67"/>
      <c r="M6" s="67"/>
      <c r="N6" s="67"/>
      <c r="O6" s="67"/>
    </row>
    <row r="7" spans="1:17" x14ac:dyDescent="0.25">
      <c r="A7" s="56" t="s">
        <v>213</v>
      </c>
      <c r="B7" s="56"/>
      <c r="C7" s="56"/>
      <c r="D7" s="56"/>
      <c r="G7" s="59" t="s">
        <v>214</v>
      </c>
    </row>
    <row r="8" spans="1:17" x14ac:dyDescent="0.25">
      <c r="A8" s="59" t="s">
        <v>215</v>
      </c>
      <c r="F8" s="1" t="str">
        <f>_xlfn.IFNA(VLOOKUP($Q$5,Table2[#All],2,0),"")</f>
        <v>TRUNG TÂM KỸ THUẬT TIÊU CHUẨN ĐO LƯỜNG CHẤT LƯỢNG</v>
      </c>
    </row>
    <row r="9" spans="1:17" x14ac:dyDescent="0.25">
      <c r="A9" s="56" t="s">
        <v>182</v>
      </c>
      <c r="B9" s="56"/>
      <c r="C9" s="56"/>
      <c r="D9" s="56"/>
    </row>
    <row r="10" spans="1:17" x14ac:dyDescent="0.25">
      <c r="A10" s="74" t="s">
        <v>216</v>
      </c>
      <c r="B10" s="73">
        <v>46167</v>
      </c>
      <c r="C10" s="73"/>
      <c r="D10" s="73"/>
      <c r="E10" s="66"/>
      <c r="F10" s="66"/>
      <c r="G10" s="66"/>
      <c r="H10" s="1" t="str">
        <f>"tại văn phòng"&amp;" "&amp;F8&amp;" "&amp;"chúng tôi gồm có :"</f>
        <v>tại văn phòng TRUNG TÂM KỸ THUẬT TIÊU CHUẨN ĐO LƯỜNG CHẤT LƯỢNG chúng tôi gồm có :</v>
      </c>
    </row>
    <row r="11" spans="1:17" s="69" customFormat="1" x14ac:dyDescent="0.25">
      <c r="A11" s="70" t="s">
        <v>183</v>
      </c>
      <c r="B11" s="69" t="str">
        <f>_xlfn.IFNA(VLOOKUP($Q$5,Table2[#All],2,0),"")</f>
        <v>TRUNG TÂM KỸ THUẬT TIÊU CHUẨN ĐO LƯỜNG CHẤT LƯỢNG</v>
      </c>
    </row>
    <row r="12" spans="1:17" x14ac:dyDescent="0.25">
      <c r="A12" s="68" t="s">
        <v>17</v>
      </c>
      <c r="B12" s="1" t="s">
        <v>73</v>
      </c>
      <c r="C12" s="69" t="str">
        <f>_xlfn.IFNA(VLOOKUP($Q$5,Table2[#All],4,0),"")</f>
        <v>NGUYỄN HỮU HÀ</v>
      </c>
      <c r="K12" s="68" t="s">
        <v>33</v>
      </c>
      <c r="L12" s="69" t="s">
        <v>34</v>
      </c>
    </row>
    <row r="13" spans="1:17" x14ac:dyDescent="0.25">
      <c r="A13" s="68" t="s">
        <v>9</v>
      </c>
      <c r="B13" s="1" t="str">
        <f>_xlfn.IFNA(VLOOKUP($Q$5,Table2[#All],3,0),"")</f>
        <v>Đường Kim Đồng, Phường Việt Trì, T. Phú Thọ</v>
      </c>
    </row>
    <row r="14" spans="1:17" x14ac:dyDescent="0.25">
      <c r="A14" s="68" t="s">
        <v>196</v>
      </c>
      <c r="B14" s="178">
        <f>_xlfn.IFNA(VLOOKUP($Q$5,Table2[#All],6,0),"")</f>
        <v>118000066436</v>
      </c>
      <c r="C14" s="178"/>
      <c r="D14" s="178"/>
      <c r="E14" s="178"/>
      <c r="F14" s="178"/>
      <c r="G14" s="71"/>
      <c r="H14" s="71"/>
      <c r="I14" s="66"/>
      <c r="J14" s="66"/>
      <c r="K14" s="66" t="str">
        <f>_xlfn.IFNA(VLOOKUP($Q$5,Table2[#All],7,0),"")</f>
        <v>Tại ngân hàng TMCP Công thương Việt Nam - CN Hùng Vương</v>
      </c>
      <c r="L14" s="66"/>
    </row>
    <row r="15" spans="1:17" x14ac:dyDescent="0.25">
      <c r="A15" s="68" t="s">
        <v>7</v>
      </c>
      <c r="B15" s="178">
        <f>_xlfn.IFNA(VLOOKUP($Q$5,Table2[#All],1,0),"")</f>
        <v>2600706055</v>
      </c>
      <c r="C15" s="178"/>
      <c r="D15" s="178"/>
      <c r="E15" s="178"/>
      <c r="F15" s="178"/>
      <c r="G15" s="59"/>
      <c r="H15" s="59"/>
    </row>
    <row r="16" spans="1:17" ht="6.6" customHeight="1" x14ac:dyDescent="0.25">
      <c r="A16" s="68"/>
      <c r="B16" s="72"/>
      <c r="C16" s="72"/>
      <c r="D16" s="72"/>
      <c r="E16" s="72"/>
      <c r="F16" s="72"/>
      <c r="G16" s="59"/>
      <c r="H16" s="59"/>
    </row>
    <row r="17" spans="1:12" s="69" customFormat="1" x14ac:dyDescent="0.25">
      <c r="A17" s="70" t="s">
        <v>208</v>
      </c>
      <c r="B17" s="69" t="s">
        <v>0</v>
      </c>
      <c r="C17" s="70"/>
      <c r="D17" s="70"/>
    </row>
    <row r="18" spans="1:12" x14ac:dyDescent="0.25">
      <c r="A18" s="68" t="s">
        <v>17</v>
      </c>
      <c r="B18" s="1" t="s">
        <v>217</v>
      </c>
      <c r="C18" s="69" t="s">
        <v>218</v>
      </c>
      <c r="D18" s="69"/>
      <c r="E18" s="69"/>
      <c r="F18" s="69"/>
      <c r="G18" s="69"/>
      <c r="H18" s="69"/>
      <c r="K18" s="68" t="s">
        <v>33</v>
      </c>
      <c r="L18" s="69" t="s">
        <v>34</v>
      </c>
    </row>
    <row r="19" spans="1:12" x14ac:dyDescent="0.25">
      <c r="A19" s="68" t="s">
        <v>9</v>
      </c>
      <c r="B19" s="1" t="s">
        <v>184</v>
      </c>
      <c r="C19" s="68"/>
      <c r="D19" s="68"/>
    </row>
    <row r="20" spans="1:12" x14ac:dyDescent="0.25">
      <c r="A20" s="68" t="s">
        <v>196</v>
      </c>
      <c r="B20" s="72" t="s">
        <v>195</v>
      </c>
      <c r="C20" s="68"/>
      <c r="D20" s="68"/>
      <c r="F20" s="71"/>
      <c r="G20" s="71"/>
      <c r="H20" s="71"/>
      <c r="I20" s="66"/>
      <c r="J20" s="66"/>
      <c r="K20" s="66"/>
      <c r="L20" s="66"/>
    </row>
    <row r="21" spans="1:12" x14ac:dyDescent="0.25">
      <c r="A21" s="68" t="s">
        <v>185</v>
      </c>
      <c r="B21" s="76" t="s">
        <v>87</v>
      </c>
      <c r="C21" s="68"/>
      <c r="D21" s="68"/>
    </row>
    <row r="22" spans="1:12" x14ac:dyDescent="0.25">
      <c r="A22" s="68" t="s">
        <v>7</v>
      </c>
      <c r="B22" s="178">
        <v>2500774911</v>
      </c>
      <c r="C22" s="178"/>
      <c r="D22" s="178"/>
      <c r="E22" s="178"/>
      <c r="G22" s="72"/>
      <c r="H22" s="72"/>
    </row>
    <row r="23" spans="1:12" ht="10.199999999999999" customHeight="1" x14ac:dyDescent="0.25"/>
    <row r="24" spans="1:12" x14ac:dyDescent="0.25">
      <c r="A24" s="1" t="s">
        <v>186</v>
      </c>
    </row>
    <row r="25" spans="1:12" x14ac:dyDescent="0.25">
      <c r="A25" s="1" t="s">
        <v>187</v>
      </c>
    </row>
    <row r="26" spans="1:12" x14ac:dyDescent="0.25">
      <c r="A26" s="1" t="s">
        <v>219</v>
      </c>
    </row>
    <row r="27" spans="1:12" x14ac:dyDescent="0.25">
      <c r="A27" s="1" t="s">
        <v>188</v>
      </c>
    </row>
    <row r="28" spans="1:12" x14ac:dyDescent="0.25">
      <c r="A28" s="1" t="s">
        <v>189</v>
      </c>
    </row>
    <row r="29" spans="1:12" x14ac:dyDescent="0.25">
      <c r="A29" s="1" t="s">
        <v>193</v>
      </c>
      <c r="J29" s="1" t="s">
        <v>194</v>
      </c>
    </row>
    <row r="30" spans="1:12" x14ac:dyDescent="0.25">
      <c r="A30" s="1" t="s">
        <v>220</v>
      </c>
    </row>
    <row r="31" spans="1:12" x14ac:dyDescent="0.25">
      <c r="A31" s="1" t="s">
        <v>190</v>
      </c>
    </row>
    <row r="32" spans="1:12" x14ac:dyDescent="0.25">
      <c r="A32" s="1" t="s">
        <v>192</v>
      </c>
      <c r="F32" s="69" t="s">
        <v>191</v>
      </c>
      <c r="G32" s="69"/>
      <c r="H32" s="69"/>
    </row>
    <row r="33" spans="1:11" x14ac:dyDescent="0.25">
      <c r="A33" s="1" t="s">
        <v>221</v>
      </c>
    </row>
    <row r="34" spans="1:11" x14ac:dyDescent="0.25">
      <c r="A34" s="1" t="s">
        <v>197</v>
      </c>
    </row>
    <row r="35" spans="1:11" x14ac:dyDescent="0.25">
      <c r="A35" s="1" t="s">
        <v>199</v>
      </c>
    </row>
    <row r="36" spans="1:11" x14ac:dyDescent="0.25">
      <c r="A36" s="1" t="s">
        <v>198</v>
      </c>
    </row>
    <row r="37" spans="1:11" x14ac:dyDescent="0.25">
      <c r="A37" s="1" t="s">
        <v>222</v>
      </c>
    </row>
    <row r="38" spans="1:11" x14ac:dyDescent="0.25">
      <c r="A38" s="1" t="s">
        <v>223</v>
      </c>
    </row>
    <row r="39" spans="1:11" x14ac:dyDescent="0.25">
      <c r="A39" s="1" t="s">
        <v>201</v>
      </c>
    </row>
    <row r="40" spans="1:11" x14ac:dyDescent="0.25">
      <c r="A40" s="1" t="s">
        <v>200</v>
      </c>
    </row>
    <row r="41" spans="1:11" ht="10.8" customHeight="1" x14ac:dyDescent="0.25"/>
    <row r="42" spans="1:11" x14ac:dyDescent="0.25">
      <c r="E42" s="69" t="s">
        <v>21</v>
      </c>
      <c r="F42" s="69"/>
      <c r="G42" s="69"/>
      <c r="H42" s="69"/>
      <c r="I42" s="69"/>
      <c r="J42" s="69"/>
      <c r="K42" s="69" t="s">
        <v>23</v>
      </c>
    </row>
    <row r="49" spans="1:5" x14ac:dyDescent="0.25">
      <c r="A49" s="1" t="s">
        <v>180</v>
      </c>
      <c r="E49" s="1" t="s">
        <v>181</v>
      </c>
    </row>
  </sheetData>
  <mergeCells count="3">
    <mergeCell ref="B14:F14"/>
    <mergeCell ref="B15:F15"/>
    <mergeCell ref="B22:E22"/>
  </mergeCells>
  <hyperlinks>
    <hyperlink ref="B21" r:id="rId1" xr:uid="{CBB70EE1-2769-4495-8BE1-96B5F636482E}"/>
  </hyperlinks>
  <pageMargins left="0.51" right="0.51" top="0.49" bottom="0.42" header="0.49" footer="0.4"/>
  <pageSetup paperSize="9" orientation="portrait" verticalDpi="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D473-D966-4AD9-8833-1CD8F6930EA4}">
  <dimension ref="A1:S24"/>
  <sheetViews>
    <sheetView workbookViewId="0">
      <selection activeCell="O20" sqref="O20"/>
    </sheetView>
  </sheetViews>
  <sheetFormatPr defaultRowHeight="13.8" x14ac:dyDescent="0.25"/>
  <cols>
    <col min="1" max="1" width="3.5546875" style="46" customWidth="1"/>
    <col min="2" max="2" width="10.109375" style="46" customWidth="1"/>
    <col min="3" max="3" width="8" style="46" customWidth="1"/>
    <col min="4" max="4" width="1" style="46" customWidth="1"/>
    <col min="5" max="5" width="10.5546875" style="46" customWidth="1"/>
    <col min="6" max="6" width="1.88671875" style="46" customWidth="1"/>
    <col min="7" max="7" width="9.5546875" style="46" customWidth="1"/>
    <col min="8" max="8" width="7.77734375" style="46" customWidth="1"/>
    <col min="9" max="9" width="16.21875" style="46" customWidth="1"/>
    <col min="10" max="10" width="9.33203125" style="46" customWidth="1"/>
    <col min="11" max="11" width="15.6640625" style="46" customWidth="1"/>
    <col min="12" max="12" width="8.88671875" style="46" customWidth="1"/>
    <col min="13" max="13" width="14.33203125" style="46" customWidth="1"/>
    <col min="14" max="14" width="12.5546875" style="46" customWidth="1"/>
    <col min="15" max="15" width="11.109375" style="46" customWidth="1"/>
    <col min="16" max="16" width="13.109375" style="46" bestFit="1" customWidth="1"/>
    <col min="17" max="16384" width="8.88671875" style="46"/>
  </cols>
  <sheetData>
    <row r="1" spans="1:19" ht="15.6" x14ac:dyDescent="0.25">
      <c r="A1" s="10" t="s">
        <v>0</v>
      </c>
      <c r="B1" s="10"/>
      <c r="C1" s="10"/>
      <c r="D1" s="10"/>
      <c r="E1" s="10"/>
      <c r="F1" s="10"/>
      <c r="G1" s="10"/>
      <c r="H1" s="10" t="s">
        <v>14</v>
      </c>
      <c r="I1" s="10"/>
      <c r="L1" s="10"/>
      <c r="M1" s="10"/>
      <c r="N1" s="10"/>
    </row>
    <row r="2" spans="1:19" ht="16.2" x14ac:dyDescent="0.25">
      <c r="A2" s="114" t="s">
        <v>98</v>
      </c>
      <c r="B2" s="114"/>
      <c r="C2" s="114"/>
      <c r="D2" s="114"/>
      <c r="E2" s="114"/>
      <c r="F2" s="114"/>
      <c r="G2" s="114"/>
      <c r="H2" s="114"/>
      <c r="I2" s="10" t="s">
        <v>100</v>
      </c>
      <c r="K2" s="10"/>
      <c r="M2" s="10" t="s">
        <v>112</v>
      </c>
      <c r="N2" s="10">
        <v>54</v>
      </c>
      <c r="O2" s="115">
        <f>IFERROR(VLOOKUP($N$2,Table1[[#All],[Số HĐ]:[Thành tiền]],2,0),"")</f>
        <v>46229</v>
      </c>
      <c r="P2" s="10"/>
      <c r="Q2" s="10"/>
      <c r="R2" s="10"/>
      <c r="S2" s="10"/>
    </row>
    <row r="3" spans="1:19" ht="16.2" x14ac:dyDescent="0.25">
      <c r="A3" s="116" t="s">
        <v>335</v>
      </c>
      <c r="I3" s="114" t="s">
        <v>123</v>
      </c>
      <c r="K3" s="114"/>
      <c r="L3" s="114"/>
      <c r="N3" s="46" t="str">
        <f>IFERROR(VLOOKUP($N$2,Table1[[#All],[Số HĐ]:[Thành tiền]],6,0),"")</f>
        <v>Cước cẩu, vận chuyển quả chuẩn từ Tề Lỗ, Phú Thọ đến Phường Phúc Yên, Phú Thọ</v>
      </c>
    </row>
    <row r="4" spans="1:19" x14ac:dyDescent="0.25">
      <c r="A4" s="117" t="s">
        <v>99</v>
      </c>
      <c r="M4" s="46" t="s">
        <v>145</v>
      </c>
      <c r="N4" s="118">
        <f>IFERROR(VLOOKUP($N$2,Table1[[#All],[Số HĐ]:[Thành tiền]],10,0),"")</f>
        <v>14500000</v>
      </c>
      <c r="O4" s="118"/>
      <c r="P4" s="60">
        <f>N4+N4*8%</f>
        <v>15660000</v>
      </c>
    </row>
    <row r="5" spans="1:19" ht="15.6" x14ac:dyDescent="0.3">
      <c r="I5" s="119" t="s">
        <v>126</v>
      </c>
      <c r="J5" s="11" t="s">
        <v>336</v>
      </c>
      <c r="M5" s="46" t="s">
        <v>147</v>
      </c>
      <c r="N5" s="61" t="s">
        <v>332</v>
      </c>
    </row>
    <row r="6" spans="1:19" ht="15.6" x14ac:dyDescent="0.25">
      <c r="B6" s="10"/>
      <c r="C6" s="10"/>
      <c r="D6" s="10"/>
      <c r="E6" s="10"/>
      <c r="F6" s="10"/>
      <c r="G6" s="10"/>
      <c r="H6" s="10"/>
      <c r="I6" s="10"/>
      <c r="J6" s="10"/>
      <c r="K6" s="10"/>
      <c r="L6" s="10"/>
      <c r="M6" s="13" t="s">
        <v>148</v>
      </c>
      <c r="N6" s="6" t="s">
        <v>333</v>
      </c>
    </row>
    <row r="7" spans="1:19" ht="20.399999999999999" x14ac:dyDescent="0.25">
      <c r="A7" s="156" t="s">
        <v>101</v>
      </c>
      <c r="B7" s="156"/>
      <c r="C7" s="156"/>
      <c r="D7" s="156"/>
      <c r="E7" s="156"/>
      <c r="F7" s="156"/>
      <c r="G7" s="156"/>
      <c r="H7" s="156"/>
      <c r="I7" s="156"/>
      <c r="J7" s="156"/>
      <c r="K7" s="156"/>
      <c r="L7" s="33"/>
      <c r="M7" s="13" t="s">
        <v>149</v>
      </c>
      <c r="N7" s="6" t="s">
        <v>334</v>
      </c>
    </row>
    <row r="8" spans="1:19" ht="12" customHeight="1" x14ac:dyDescent="0.25">
      <c r="A8" s="113"/>
      <c r="B8" s="113"/>
      <c r="C8" s="113"/>
      <c r="D8" s="113"/>
      <c r="E8" s="113"/>
      <c r="F8" s="113"/>
      <c r="G8" s="113"/>
      <c r="H8" s="113"/>
      <c r="I8" s="113"/>
      <c r="J8" s="113"/>
      <c r="K8" s="113"/>
      <c r="L8" s="113"/>
      <c r="M8" s="120"/>
      <c r="N8" s="113"/>
    </row>
    <row r="9" spans="1:19" ht="16.2" customHeight="1" x14ac:dyDescent="0.3">
      <c r="B9" s="121" t="s">
        <v>110</v>
      </c>
      <c r="C9" s="179" t="str">
        <f>IFERROR(VLOOKUP($N$2,Table1[[#All],[Số HĐ]:[Thành tiền]],4,0),"")</f>
        <v>CÔNG TY TNHH ỨNG DỤNG GIẢI PHÁP CÔNG NGHỆ</v>
      </c>
      <c r="D9" s="180"/>
      <c r="E9" s="180"/>
      <c r="F9" s="180"/>
      <c r="G9" s="180"/>
      <c r="H9" s="180"/>
      <c r="I9" s="180"/>
      <c r="J9" s="180"/>
      <c r="K9" s="180"/>
    </row>
    <row r="10" spans="1:19" ht="16.2" x14ac:dyDescent="0.25">
      <c r="A10" s="86" t="s">
        <v>135</v>
      </c>
      <c r="B10" s="86"/>
      <c r="C10" s="86"/>
      <c r="D10" s="86"/>
      <c r="E10" s="86"/>
      <c r="F10" s="86"/>
      <c r="G10" s="86"/>
      <c r="H10" s="86"/>
      <c r="I10" s="86"/>
      <c r="J10" s="86"/>
      <c r="K10" s="86"/>
      <c r="L10" s="86"/>
      <c r="M10" s="86"/>
      <c r="N10" s="86"/>
    </row>
    <row r="11" spans="1:19" ht="16.2" x14ac:dyDescent="0.25">
      <c r="A11" s="86" t="s">
        <v>111</v>
      </c>
      <c r="B11" s="86"/>
      <c r="C11" s="86"/>
      <c r="D11" s="86"/>
      <c r="E11" s="86" t="str">
        <f>N5&amp;" từ"&amp;" " &amp;N6&amp;" đi "&amp;N7&amp;" BKS 19H-147.98."</f>
        <v>quả chuẩn từ Tề Lỗ, Phú Thọ đi Phường Phúc Yên, Phú Thọ BKS 19H-147.98.</v>
      </c>
      <c r="F11" s="86"/>
      <c r="G11" s="86"/>
      <c r="J11" s="86"/>
      <c r="K11" s="86"/>
      <c r="L11" s="86"/>
      <c r="M11" s="86"/>
      <c r="N11" s="86"/>
    </row>
    <row r="12" spans="1:19" ht="16.2" x14ac:dyDescent="0.3">
      <c r="A12" s="90" t="s">
        <v>124</v>
      </c>
      <c r="B12" s="90"/>
      <c r="C12" s="90"/>
      <c r="D12" s="90"/>
      <c r="E12" s="182">
        <f>P4</f>
        <v>15660000</v>
      </c>
      <c r="F12" s="182"/>
      <c r="G12" s="103" t="str">
        <f>"(đã bao gồm thuế GTGT) và đã phát hành Hóa đơn số: 000000"&amp;N2</f>
        <v>(đã bao gồm thuế GTGT) và đã phát hành Hóa đơn số: 00000054</v>
      </c>
      <c r="H12" s="90"/>
      <c r="I12" s="90"/>
      <c r="L12" s="90"/>
      <c r="M12" s="90"/>
      <c r="N12" s="90"/>
    </row>
    <row r="13" spans="1:19" ht="16.2" x14ac:dyDescent="0.25">
      <c r="A13" s="181">
        <f>IFERROR(VLOOKUP($N$2,Table1[[#All],[Số HĐ]:[Thành tiền]],2,0),"")</f>
        <v>46229</v>
      </c>
      <c r="B13" s="181"/>
      <c r="C13" s="181"/>
      <c r="D13" s="181"/>
      <c r="E13" s="181"/>
      <c r="F13" s="90"/>
      <c r="G13" s="90"/>
      <c r="H13" s="90"/>
      <c r="I13" s="90"/>
      <c r="J13" s="90"/>
      <c r="K13" s="90"/>
      <c r="L13" s="90"/>
      <c r="M13" s="90"/>
      <c r="N13" s="122"/>
    </row>
    <row r="14" spans="1:19" ht="16.2" x14ac:dyDescent="0.25">
      <c r="A14" s="86" t="s">
        <v>125</v>
      </c>
      <c r="B14" s="86"/>
      <c r="C14" s="86"/>
      <c r="D14" s="86"/>
      <c r="E14" s="86"/>
      <c r="F14" s="86"/>
      <c r="G14" s="86"/>
      <c r="H14" s="86"/>
      <c r="I14" s="86"/>
      <c r="J14" s="86"/>
      <c r="K14" s="123">
        <f>P4</f>
        <v>15660000</v>
      </c>
      <c r="L14" s="86"/>
      <c r="M14" s="86"/>
      <c r="N14" s="86"/>
    </row>
    <row r="15" spans="1:19" ht="16.2" x14ac:dyDescent="0.25">
      <c r="B15" s="90" t="s">
        <v>30</v>
      </c>
      <c r="C15" s="90"/>
      <c r="D15" s="90" t="str">
        <f>[1]!VND(ĐNTT!K14, TRUE,1,"đồng","xu")</f>
        <v>Mười lăm triệu, sáu trăm sáu mươi ngàn đồng</v>
      </c>
      <c r="E15" s="90"/>
      <c r="F15" s="90"/>
      <c r="G15" s="90"/>
      <c r="H15" s="90"/>
      <c r="I15" s="90"/>
      <c r="J15" s="90"/>
      <c r="K15" s="90"/>
      <c r="L15" s="90"/>
      <c r="M15" s="90"/>
      <c r="N15" s="90"/>
    </row>
    <row r="16" spans="1:19" ht="16.2" x14ac:dyDescent="0.25">
      <c r="A16" s="124" t="s">
        <v>102</v>
      </c>
      <c r="B16" s="124"/>
      <c r="C16" s="124"/>
      <c r="D16" s="124"/>
      <c r="E16" s="124"/>
      <c r="F16" s="124"/>
      <c r="G16" s="124"/>
      <c r="H16" s="124"/>
      <c r="I16" s="124"/>
      <c r="J16" s="124"/>
      <c r="K16" s="124"/>
      <c r="L16" s="124"/>
      <c r="M16" s="124"/>
      <c r="N16" s="124"/>
    </row>
    <row r="17" spans="1:14" ht="16.2" x14ac:dyDescent="0.25">
      <c r="A17" s="85" t="s">
        <v>107</v>
      </c>
    </row>
    <row r="18" spans="1:14" ht="16.2" x14ac:dyDescent="0.25">
      <c r="A18" s="125" t="s">
        <v>108</v>
      </c>
      <c r="K18" s="126"/>
    </row>
    <row r="19" spans="1:14" ht="16.2" x14ac:dyDescent="0.25">
      <c r="A19" s="85" t="s">
        <v>109</v>
      </c>
    </row>
    <row r="20" spans="1:14" ht="16.2" x14ac:dyDescent="0.25">
      <c r="A20" s="86" t="s">
        <v>103</v>
      </c>
      <c r="B20" s="86"/>
      <c r="C20" s="86"/>
      <c r="D20" s="86"/>
      <c r="E20" s="86"/>
      <c r="F20" s="86"/>
      <c r="G20" s="86"/>
      <c r="H20" s="86"/>
      <c r="I20" s="86"/>
      <c r="J20" s="86"/>
      <c r="K20" s="86"/>
      <c r="L20" s="86"/>
      <c r="M20" s="86"/>
      <c r="N20" s="86"/>
    </row>
    <row r="22" spans="1:14" ht="15.6" x14ac:dyDescent="0.25">
      <c r="A22" s="127" t="s">
        <v>104</v>
      </c>
      <c r="H22" s="57" t="s">
        <v>0</v>
      </c>
    </row>
    <row r="23" spans="1:14" ht="15.6" x14ac:dyDescent="0.25">
      <c r="A23" s="128" t="s">
        <v>105</v>
      </c>
    </row>
    <row r="24" spans="1:14" ht="15.6" x14ac:dyDescent="0.25">
      <c r="A24" s="128" t="s">
        <v>106</v>
      </c>
    </row>
  </sheetData>
  <mergeCells count="4">
    <mergeCell ref="A7:K7"/>
    <mergeCell ref="C9:K9"/>
    <mergeCell ref="A13:E13"/>
    <mergeCell ref="E12:F12"/>
  </mergeCells>
  <pageMargins left="0.45" right="0.45" top="0.75" bottom="0.75" header="0.32"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43822F3-A662-46EA-97C0-97C27C37E1E6}">
          <x14:formula1>
            <xm:f>DSKH!$A$7:$A$1000</xm:f>
          </x14:formula1>
          <xm:sqref>N2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DSKH</vt:lpstr>
      <vt:lpstr>Hợp đồng </vt:lpstr>
      <vt:lpstr>DATA</vt:lpstr>
      <vt:lpstr>BBVC</vt:lpstr>
      <vt:lpstr>BBTLHĐ</vt:lpstr>
      <vt:lpstr>ĐNTT</vt:lpstr>
      <vt:lpstr>BBTLHĐ!Print_Area</vt:lpstr>
      <vt:lpstr>BBVC!Print_Area</vt:lpstr>
      <vt:lpstr>ĐNTT!Print_Area</vt:lpstr>
      <vt:lpstr>'Hợp đồng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ngocbich9417@gmail.com</dc:creator>
  <cp:lastModifiedBy>Administrator</cp:lastModifiedBy>
  <cp:lastPrinted>2026-09-12T04:05:18Z</cp:lastPrinted>
  <dcterms:created xsi:type="dcterms:W3CDTF">2026-05-16T01:41:13Z</dcterms:created>
  <dcterms:modified xsi:type="dcterms:W3CDTF">2026-10-20T10:49:13Z</dcterms:modified>
</cp:coreProperties>
</file>