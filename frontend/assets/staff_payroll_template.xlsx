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đại lộ xanh\2026\"/>
    </mc:Choice>
  </mc:AlternateContent>
  <xr:revisionPtr revIDLastSave="0" documentId="13_ncr:1_{4D78279D-823B-48C4-AB54-8F87023BFBDF}" xr6:coauthVersionLast="47" xr6:coauthVersionMax="47" xr10:uidLastSave="{00000000-0000-0000-0000-000000000000}"/>
  <bookViews>
    <workbookView xWindow="-108" yWindow="-108" windowWidth="23256" windowHeight="12576" tabRatio="938" xr2:uid="{00000000-000D-0000-FFFF-FFFF00000000}"/>
  </bookViews>
  <sheets>
    <sheet name="Mức lương" sheetId="1" r:id="rId1"/>
    <sheet name="BCC" sheetId="2" r:id="rId2"/>
    <sheet name="Thưởng KPI+Định mức" sheetId="3" r:id="rId3"/>
    <sheet name="Người phụ thuộc" sheetId="4" r:id="rId4"/>
    <sheet name="BHXH" sheetId="5" r:id="rId5"/>
    <sheet name="Thuế TNCN" sheetId="6" r:id="rId6"/>
    <sheet name="Bảng lương" sheetId="7" r:id="rId7"/>
    <sheet name="Phiếu lương" sheetId="8" r:id="rId8"/>
    <sheet name="DS số TKNH" sheetId="9" r:id="rId9"/>
    <sheet name="HĐ LAO ĐỘNG VP" sheetId="10" r:id="rId10"/>
    <sheet name="HĐ LAO ĐỘNG LX" sheetId="11" r:id="rId11"/>
    <sheet name="NỘI QUY LAO ĐỘNG" sheetId="12" r:id="rId12"/>
    <sheet name="QUY CHẾ TIỀN LƯƠNG LX THEO DT" sheetId="13" r:id="rId13"/>
    <sheet name="QUY CHẾ LƯƠNG LX THEO CHUYẾN" sheetId="14" r:id="rId14"/>
    <sheet name="QUY CHẾ LƯƠNG VP" sheetId="15" r:id="rId15"/>
    <sheet name="TH_QUY CHẾ LƯƠNG (1 trang in)" sheetId="16" r:id="rId16"/>
    <sheet name="THANG BẢNG LƯƠNG" sheetId="17" r:id="rId17"/>
    <sheet name="QĐ TRẢ LƯƠNG" sheetId="18" r:id="rId18"/>
    <sheet name="QĐ Lương NVKD" sheetId="19" r:id="rId19"/>
    <sheet name="QĐ Lương Lái xe" sheetId="20" r:id="rId20"/>
  </sheets>
  <definedNames>
    <definedName name="_xlnm._FilterDatabase" localSheetId="6" hidden="1">'Bảng lương'!$A$6:$IW$15</definedName>
    <definedName name="_xlnm._FilterDatabase" localSheetId="1" hidden="1">BCC!$A$8:$BA$8</definedName>
    <definedName name="_xlnm._FilterDatabase" localSheetId="8" hidden="1">'DS số TKNH'!$A$2:$G$5</definedName>
    <definedName name="_xlnm._FilterDatabase" localSheetId="5" hidden="1">'Thuế TNCN'!$A$3:$AS$8</definedName>
    <definedName name="_xlnm._FilterDatabase" localSheetId="2" hidden="1">'Thưởng KPI+Định mức'!$A$3:$IC$7</definedName>
    <definedName name="NgayCongChuan">BCC!$AJ$5</definedName>
    <definedName name="_xlnm.Print_Area" localSheetId="6">'Bảng lương'!$A$1:$AJ$20</definedName>
    <definedName name="_xlnm.Print_Area" localSheetId="1">BCC!$A$1:$BA$62</definedName>
    <definedName name="_xlnm.Print_Area" localSheetId="4">BHXH!$A$1:$N$17</definedName>
    <definedName name="_xlnm.Print_Area" localSheetId="10">'HĐ LAO ĐỘNG LX'!$A$1:$F$96</definedName>
    <definedName name="_xlnm.Print_Area" localSheetId="9">'HĐ LAO ĐỘNG VP'!$A$1:$F$128</definedName>
    <definedName name="_xlnm.Print_Area" localSheetId="0">'Mức lương'!$A$1:$N$8</definedName>
    <definedName name="_xlnm.Print_Area" localSheetId="11">'NỘI QUY LAO ĐỘNG'!$A$1:$F$960</definedName>
    <definedName name="_xlnm.Print_Area" localSheetId="7">'Phiếu lương'!$A$1:$F$22</definedName>
    <definedName name="_xlnm.Print_Area" localSheetId="19">'QĐ Lương Lái xe'!$A$1:$F$60</definedName>
    <definedName name="_xlnm.Print_Area" localSheetId="18">'QĐ Lương NVKD'!$A$1:$F$53</definedName>
    <definedName name="_xlnm.Print_Area" localSheetId="13">'QUY CHẾ LƯƠNG LX THEO CHUYẾN'!$A$1:$E$142</definedName>
    <definedName name="_xlnm.Print_Area" localSheetId="14">'QUY CHẾ LƯƠNG VP'!$A$1:$E$165</definedName>
    <definedName name="_xlnm.Print_Area" localSheetId="12">'QUY CHẾ TIỀN LƯƠNG LX THEO DT'!$A$1:$E$134</definedName>
    <definedName name="_xlnm.Print_Area" localSheetId="15">'TH_QUY CHẾ LƯƠNG (1 trang in)'!$A$1:$M$48</definedName>
    <definedName name="_xlnm.Print_Area" localSheetId="5">'Thuế TNCN'!$A$1:$T$17</definedName>
    <definedName name="_xlnm.Print_Area" localSheetId="2">'Thưởng KPI+Định mức'!$A$1:$I$10</definedName>
    <definedName name="_xlnm.Print_Titles" localSheetId="6">'Bảng lương'!$5:$6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 i="5" l="1"/>
  <c r="A10" i="1" l="1"/>
  <c r="E40" i="17"/>
  <c r="E39" i="17"/>
  <c r="E38" i="17"/>
  <c r="E37" i="17"/>
  <c r="E36" i="17"/>
  <c r="E50" i="17"/>
  <c r="E49" i="17"/>
  <c r="E48" i="17"/>
  <c r="E47" i="17"/>
  <c r="E46" i="17"/>
  <c r="E45" i="17"/>
  <c r="E44" i="17"/>
  <c r="E43" i="17"/>
  <c r="E42" i="17"/>
  <c r="E41"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N2" i="11"/>
  <c r="I2" i="11"/>
  <c r="I5" i="10"/>
  <c r="H3" i="10"/>
  <c r="C5" i="9"/>
  <c r="B5" i="9"/>
  <c r="C4" i="9"/>
  <c r="B4" i="9"/>
  <c r="A4" i="9"/>
  <c r="D4" i="9" s="1"/>
  <c r="C3" i="9"/>
  <c r="B3" i="9"/>
  <c r="A3" i="8"/>
  <c r="Y13" i="7"/>
  <c r="I13" i="7"/>
  <c r="B12" i="7"/>
  <c r="B11" i="7"/>
  <c r="B10" i="7"/>
  <c r="R7" i="7"/>
  <c r="P4" i="7"/>
  <c r="A3" i="7"/>
  <c r="B7" i="5"/>
  <c r="D7" i="5" s="1"/>
  <c r="B6" i="5"/>
  <c r="D6" i="5" s="1"/>
  <c r="A6" i="5"/>
  <c r="B5" i="5"/>
  <c r="D5" i="5" s="1"/>
  <c r="I4" i="4"/>
  <c r="C4" i="4" s="1"/>
  <c r="B4" i="4"/>
  <c r="I3" i="4"/>
  <c r="C3" i="4" s="1"/>
  <c r="B3" i="4"/>
  <c r="A3" i="4"/>
  <c r="I2" i="4"/>
  <c r="C2" i="4" s="1"/>
  <c r="B2" i="4"/>
  <c r="G7" i="3"/>
  <c r="B7" i="3"/>
  <c r="C7" i="3" s="1"/>
  <c r="G6" i="3"/>
  <c r="B6" i="3"/>
  <c r="C6" i="3" s="1"/>
  <c r="A6" i="3"/>
  <c r="G5" i="3"/>
  <c r="B5" i="3"/>
  <c r="C5" i="3" s="1"/>
  <c r="A1" i="3"/>
  <c r="AX12" i="2"/>
  <c r="AW12" i="2"/>
  <c r="AV12" i="2"/>
  <c r="AU12" i="2"/>
  <c r="AT12" i="2"/>
  <c r="AS12" i="2"/>
  <c r="AP12" i="2"/>
  <c r="AO12" i="2"/>
  <c r="AN12" i="2"/>
  <c r="AM12" i="2"/>
  <c r="AL12" i="2"/>
  <c r="AK12" i="2"/>
  <c r="AJ12" i="2"/>
  <c r="B12" i="2"/>
  <c r="B11" i="2"/>
  <c r="A11" i="2"/>
  <c r="AX9" i="2"/>
  <c r="AW9" i="2"/>
  <c r="AV9" i="2"/>
  <c r="AU9" i="2"/>
  <c r="AT9" i="2"/>
  <c r="AS9" i="2"/>
  <c r="AP9" i="2"/>
  <c r="AO9" i="2"/>
  <c r="AN9" i="2"/>
  <c r="AM9" i="2"/>
  <c r="AL9" i="2"/>
  <c r="AK9" i="2"/>
  <c r="AJ9" i="2"/>
  <c r="B9" i="2"/>
  <c r="E7" i="2"/>
  <c r="A8" i="1"/>
  <c r="A5" i="6" s="1"/>
  <c r="G8" i="6"/>
  <c r="B7" i="6"/>
  <c r="A7" i="6"/>
  <c r="B6" i="6"/>
  <c r="A6" i="6"/>
  <c r="B5" i="6"/>
  <c r="A1" i="6"/>
  <c r="U6" i="6" l="1"/>
  <c r="U5" i="6"/>
  <c r="U7" i="6"/>
  <c r="B5" i="8"/>
  <c r="D12" i="7"/>
  <c r="C12" i="7"/>
  <c r="C11" i="7"/>
  <c r="D11" i="7"/>
  <c r="D10" i="7"/>
  <c r="C10" i="7"/>
  <c r="L7" i="5"/>
  <c r="K7" i="5"/>
  <c r="G7" i="5"/>
  <c r="J7" i="5"/>
  <c r="F7" i="5"/>
  <c r="H7" i="5"/>
  <c r="F6" i="5"/>
  <c r="K6" i="5"/>
  <c r="H6" i="5"/>
  <c r="M6" i="5"/>
  <c r="J6" i="5"/>
  <c r="G6" i="5"/>
  <c r="L6" i="5"/>
  <c r="E6" i="5"/>
  <c r="I6" i="5"/>
  <c r="F5" i="5"/>
  <c r="G5" i="5"/>
  <c r="H5" i="5"/>
  <c r="J5" i="5"/>
  <c r="K5" i="5"/>
  <c r="L5" i="5"/>
  <c r="D8" i="5"/>
  <c r="H7" i="3"/>
  <c r="I7" i="3" s="1"/>
  <c r="H6" i="3"/>
  <c r="I6" i="3" s="1"/>
  <c r="H5" i="3"/>
  <c r="I5" i="3" s="1"/>
  <c r="A12" i="2"/>
  <c r="C12" i="2"/>
  <c r="A9" i="2"/>
  <c r="C9" i="2"/>
  <c r="F7" i="2"/>
  <c r="E8" i="2"/>
  <c r="A7" i="5"/>
  <c r="A4" i="4"/>
  <c r="A5" i="9"/>
  <c r="D5" i="9" s="1"/>
  <c r="A7" i="3"/>
  <c r="A3" i="9"/>
  <c r="D3" i="9" s="1"/>
  <c r="A5" i="3"/>
  <c r="A2" i="4"/>
  <c r="A5" i="5"/>
  <c r="M7" i="5" l="1"/>
  <c r="I5" i="5"/>
  <c r="I7" i="5"/>
  <c r="M5" i="5"/>
  <c r="A12" i="7"/>
  <c r="J12" i="7"/>
  <c r="E12" i="7"/>
  <c r="N12" i="7"/>
  <c r="L12" i="7"/>
  <c r="G12" i="7"/>
  <c r="X12" i="7" s="1"/>
  <c r="H12" i="7"/>
  <c r="F12" i="7"/>
  <c r="AC12" i="7"/>
  <c r="K12" i="7"/>
  <c r="S11" i="7"/>
  <c r="W11" i="7"/>
  <c r="G11" i="7"/>
  <c r="N11" i="7"/>
  <c r="R11" i="7"/>
  <c r="AC11" i="7"/>
  <c r="AI11" i="7"/>
  <c r="A11" i="7"/>
  <c r="F11" i="7"/>
  <c r="T11" i="7"/>
  <c r="Z11" i="7"/>
  <c r="AE11" i="7"/>
  <c r="AG11" i="7"/>
  <c r="K11" i="7"/>
  <c r="AB11" i="7"/>
  <c r="H11" i="7"/>
  <c r="O11" i="7"/>
  <c r="U11" i="7"/>
  <c r="X11" i="7"/>
  <c r="AH11" i="7"/>
  <c r="J11" i="7"/>
  <c r="M11" i="7"/>
  <c r="P11" i="7"/>
  <c r="V11" i="7"/>
  <c r="AD11" i="7"/>
  <c r="AK11" i="7"/>
  <c r="E11" i="7"/>
  <c r="L11" i="7"/>
  <c r="Q11" i="7"/>
  <c r="AA11" i="7"/>
  <c r="AF11" i="7"/>
  <c r="E4" i="8"/>
  <c r="F13" i="8"/>
  <c r="C13" i="8"/>
  <c r="F10" i="7"/>
  <c r="D13" i="7"/>
  <c r="H10" i="7"/>
  <c r="A10" i="7"/>
  <c r="E10" i="7"/>
  <c r="J10" i="7"/>
  <c r="AC10" i="7"/>
  <c r="L10" i="7"/>
  <c r="K10" i="7"/>
  <c r="G10" i="7"/>
  <c r="X10" i="7" s="1"/>
  <c r="N10" i="7"/>
  <c r="G7" i="2"/>
  <c r="F8" i="2"/>
  <c r="I7" i="10"/>
  <c r="A15" i="10" s="1"/>
  <c r="I10" i="10"/>
  <c r="I12" i="10"/>
  <c r="I14" i="10"/>
  <c r="A19" i="10" s="1"/>
  <c r="I16" i="10"/>
  <c r="A24" i="10" s="1"/>
  <c r="I3" i="11"/>
  <c r="I5" i="11"/>
  <c r="A15" i="11" s="1"/>
  <c r="I7" i="11"/>
  <c r="I9" i="11"/>
  <c r="A19" i="11" s="1"/>
  <c r="I11" i="11"/>
  <c r="A17" i="11" s="1"/>
  <c r="I14" i="11"/>
  <c r="A23" i="11" s="1"/>
  <c r="I6" i="10"/>
  <c r="I9" i="10"/>
  <c r="I13" i="10"/>
  <c r="A18" i="10" s="1"/>
  <c r="I4" i="11"/>
  <c r="A26" i="11" s="1"/>
  <c r="I6" i="11"/>
  <c r="I8" i="11"/>
  <c r="I10" i="11"/>
  <c r="A16" i="11" s="1"/>
  <c r="I13" i="11"/>
  <c r="A24" i="11" s="1"/>
  <c r="I8" i="10"/>
  <c r="A16" i="10" s="1"/>
  <c r="I11" i="10"/>
  <c r="I15" i="10"/>
  <c r="I17" i="10"/>
  <c r="A23" i="10" s="1"/>
  <c r="I12" i="11"/>
  <c r="A20" i="11" s="1"/>
  <c r="F8" i="5"/>
  <c r="G8" i="5"/>
  <c r="H8" i="5"/>
  <c r="J8" i="5"/>
  <c r="K8" i="5"/>
  <c r="L8" i="5"/>
  <c r="E7" i="5" l="1"/>
  <c r="H6" i="6"/>
  <c r="J6" i="6" s="1"/>
  <c r="I8" i="5"/>
  <c r="J10" i="5" s="1"/>
  <c r="E5" i="5"/>
  <c r="M8" i="5"/>
  <c r="J9" i="5" s="1"/>
  <c r="G8" i="2"/>
  <c r="H7" i="2"/>
  <c r="A14" i="11"/>
  <c r="I15" i="11"/>
  <c r="A36" i="11" s="1"/>
  <c r="A14" i="10"/>
  <c r="I18" i="10"/>
  <c r="A40" i="10" s="1"/>
  <c r="F13" i="7"/>
  <c r="H13" i="7"/>
  <c r="E13" i="7"/>
  <c r="J13" i="7"/>
  <c r="AC13" i="7"/>
  <c r="K13" i="7"/>
  <c r="G13" i="7"/>
  <c r="N13" i="7"/>
  <c r="A17" i="10"/>
  <c r="A18" i="11"/>
  <c r="O12" i="7"/>
  <c r="S12" i="7"/>
  <c r="U12" i="7"/>
  <c r="Q12" i="7"/>
  <c r="T12" i="7"/>
  <c r="P12" i="7"/>
  <c r="AK12" i="7"/>
  <c r="AG12" i="7"/>
  <c r="F11" i="8"/>
  <c r="E6" i="8"/>
  <c r="E5" i="8"/>
  <c r="F10" i="8"/>
  <c r="AG10" i="7"/>
  <c r="AK10" i="7"/>
  <c r="S10" i="7"/>
  <c r="Q10" i="7"/>
  <c r="T10" i="7"/>
  <c r="O10" i="7"/>
  <c r="P10" i="7"/>
  <c r="U10" i="7"/>
  <c r="X13" i="7"/>
  <c r="N6" i="6" l="1"/>
  <c r="T6" i="6"/>
  <c r="F6" i="6"/>
  <c r="D6" i="6"/>
  <c r="L6" i="6"/>
  <c r="Q6" i="6"/>
  <c r="R6" i="6" s="1"/>
  <c r="J11" i="5"/>
  <c r="K6" i="6"/>
  <c r="E6" i="6"/>
  <c r="O6" i="6"/>
  <c r="M6" i="6"/>
  <c r="P6" i="6"/>
  <c r="I6" i="6"/>
  <c r="E8" i="5"/>
  <c r="I7" i="2"/>
  <c r="H8" i="2"/>
  <c r="C11" i="8"/>
  <c r="C12" i="8"/>
  <c r="C10" i="8"/>
  <c r="C9" i="8"/>
  <c r="F9" i="8"/>
  <c r="V10" i="7"/>
  <c r="S13" i="7"/>
  <c r="R10" i="7"/>
  <c r="O13" i="7"/>
  <c r="R12" i="7"/>
  <c r="V12" i="7"/>
  <c r="Q13" i="7"/>
  <c r="T13" i="7"/>
  <c r="P13" i="7"/>
  <c r="U13" i="7"/>
  <c r="J7" i="2" l="1"/>
  <c r="I8" i="2"/>
  <c r="R13" i="7"/>
  <c r="V13" i="7"/>
  <c r="K7" i="2" l="1"/>
  <c r="J8" i="2"/>
  <c r="K8" i="2" l="1"/>
  <c r="L7" i="2"/>
  <c r="M7" i="2" l="1"/>
  <c r="L8" i="2"/>
  <c r="M8" i="2" l="1"/>
  <c r="N7" i="2"/>
  <c r="O7" i="2" l="1"/>
  <c r="N8" i="2"/>
  <c r="P7" i="2" l="1"/>
  <c r="O8" i="2"/>
  <c r="Q7" i="2" l="1"/>
  <c r="P8" i="2"/>
  <c r="R7" i="2" l="1"/>
  <c r="Q8" i="2"/>
  <c r="S7" i="2" l="1"/>
  <c r="R8" i="2"/>
  <c r="T7" i="2" l="1"/>
  <c r="S8" i="2"/>
  <c r="U7" i="2" l="1"/>
  <c r="T8" i="2"/>
  <c r="V7" i="2" l="1"/>
  <c r="U8" i="2"/>
  <c r="V8" i="2" l="1"/>
  <c r="W7" i="2"/>
  <c r="X7" i="2" l="1"/>
  <c r="W8" i="2"/>
  <c r="Y7" i="2" l="1"/>
  <c r="X8" i="2"/>
  <c r="Z7" i="2" l="1"/>
  <c r="Y8" i="2"/>
  <c r="AA7" i="2" l="1"/>
  <c r="Z8" i="2"/>
  <c r="AB7" i="2" l="1"/>
  <c r="AA8" i="2"/>
  <c r="AC7" i="2" l="1"/>
  <c r="AB8" i="2"/>
  <c r="AD7" i="2" l="1"/>
  <c r="AC8" i="2"/>
  <c r="AE7" i="2" l="1"/>
  <c r="AD8" i="2"/>
  <c r="AE8" i="2" l="1"/>
  <c r="AF7" i="2"/>
  <c r="AG7" i="2" l="1"/>
  <c r="AF8" i="2"/>
  <c r="AH7" i="2" l="1"/>
  <c r="AG8" i="2"/>
  <c r="AI7" i="2" l="1"/>
  <c r="AI8" i="2" s="1"/>
  <c r="AH8" i="2"/>
  <c r="AR12" i="2" l="1"/>
  <c r="AR9" i="2"/>
  <c r="AQ12" i="2" l="1"/>
  <c r="AB12" i="7"/>
  <c r="AQ9" i="2"/>
  <c r="AB10" i="7"/>
  <c r="AA12" i="7" l="1"/>
  <c r="AD12" i="7" s="1"/>
  <c r="AZ12" i="2"/>
  <c r="AA10" i="7"/>
  <c r="AZ9" i="2"/>
  <c r="AB13" i="7"/>
  <c r="AE12" i="7" l="1"/>
  <c r="AF12" i="7" s="1"/>
  <c r="AD10" i="7"/>
  <c r="AA13" i="7"/>
  <c r="M12" i="7" l="1"/>
  <c r="AI12" i="7"/>
  <c r="AH12" i="7" s="1"/>
  <c r="AE10" i="7"/>
  <c r="AF10" i="7" s="1"/>
  <c r="AD13" i="7"/>
  <c r="H7" i="6" l="1"/>
  <c r="M10" i="7"/>
  <c r="AI10" i="7"/>
  <c r="AF13" i="7"/>
  <c r="F16" i="8"/>
  <c r="T7" i="6" l="1"/>
  <c r="N7" i="6"/>
  <c r="F7" i="6"/>
  <c r="M7" i="6"/>
  <c r="E7" i="6"/>
  <c r="P7" i="6"/>
  <c r="D7" i="6"/>
  <c r="K7" i="6"/>
  <c r="L7" i="6"/>
  <c r="O7" i="6"/>
  <c r="H5" i="6"/>
  <c r="M13" i="7"/>
  <c r="AI13" i="7"/>
  <c r="AH10" i="7"/>
  <c r="AH13" i="7" l="1"/>
  <c r="C14" i="8"/>
  <c r="C15" i="8" s="1"/>
  <c r="I7" i="6"/>
  <c r="J7" i="6" s="1"/>
  <c r="Q7" i="6" s="1"/>
  <c r="R7" i="6" s="1"/>
  <c r="W12" i="7" s="1"/>
  <c r="Z12" i="7" s="1"/>
  <c r="H8" i="6"/>
  <c r="O5" i="6"/>
  <c r="L5" i="6"/>
  <c r="L8" i="6" s="1"/>
  <c r="F5" i="6"/>
  <c r="F8" i="6" s="1"/>
  <c r="K5" i="6"/>
  <c r="K8" i="6" s="1"/>
  <c r="E5" i="6"/>
  <c r="E8" i="6" s="1"/>
  <c r="M5" i="6"/>
  <c r="M8" i="6" s="1"/>
  <c r="D5" i="6"/>
  <c r="D8" i="6" s="1"/>
  <c r="N5" i="6"/>
  <c r="N8" i="6" s="1"/>
  <c r="T5" i="6"/>
  <c r="T8" i="6" s="1"/>
  <c r="P5" i="6"/>
  <c r="P8" i="6" s="1"/>
  <c r="I5" i="6" l="1"/>
  <c r="O8" i="6"/>
  <c r="J5" i="6" l="1"/>
  <c r="I8" i="6"/>
  <c r="Q5" i="6" l="1"/>
  <c r="J8" i="6"/>
  <c r="R5" i="6" l="1"/>
  <c r="Q8" i="6"/>
  <c r="W10" i="7" l="1"/>
  <c r="F12" i="8" s="1"/>
  <c r="F15" i="8" s="1"/>
  <c r="D17" i="8" s="1"/>
  <c r="R8" i="6"/>
  <c r="Z10" i="7" l="1"/>
  <c r="Z13" i="7" s="1"/>
  <c r="W1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J5" authorId="0" shapeId="0" xr:uid="{00000000-0006-0000-0100-000001000000}">
      <text>
        <r>
          <rPr>
            <sz val="10"/>
            <rFont val="Arial"/>
            <family val="2"/>
          </rPr>
          <t>Số công chuẩn của tháng (nhập tay). Bảng lương, Phiếu lương lấy từ ô này.</t>
        </r>
      </text>
    </comment>
    <comment ref="AZ6" authorId="0" shapeId="0" xr:uid="{00000000-0006-0000-0100-000002000000}">
      <text>
        <r>
          <rPr>
            <sz val="10"/>
            <rFont val="Arial"/>
            <family val="2"/>
          </rPr>
          <t>Điều 60 Nghị định 145/2020/NĐ-CP (hướng dẫn Điều 107 Bộ luật Lao động 2019, vẫn hiệu lực năm 2026): tổng số giờ làm thêm không được vượt quá 40 giờ trong 01 tháng. Cột này tự động cảnh báo nếu vượt.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R2" authorId="0" shapeId="0" xr:uid="{00000000-0006-0000-0500-000001000000}">
      <text>
        <r>
          <rPr>
            <sz val="10"/>
            <rFont val="Arial"/>
            <family val="2"/>
          </rPr>
          <t>Thuế TNCN phải nộp trong tháng, theo biểu thuế lũy tiến từng phần 5 bậc (5/10/20/30/35%) áp dụng từ kỳ tính thuế 2026 theo Luật Thuế thu nhập cá nhân số 109/2025/QH15.
Bọc MAX(0,...) để tránh trả về số âm khi Thu nhập tính thuế (cột Q) nhỏ hơn 0 (trường hợp thu nhập thấp hơn các khoản giảm trừ) - trường hợp này không phát sinh thuế phải nộp.</t>
        </r>
      </text>
    </comment>
    <comment ref="X3" authorId="0" shapeId="0" xr:uid="{00000000-0006-0000-0500-000002000000}">
      <text>
        <r>
          <rPr>
            <sz val="10"/>
            <rFont val="Arial"/>
            <family val="2"/>
          </rPr>
          <t>Mức giảm trừ gia cảnh đang dùng trong file (kỳ tính thuế 2026): 15,5 triệu/tháng bản thân, 6,2 triệu/tháng mỗi người phụ thuộc. Đổi tại đây khi quy định thay đổi.</t>
        </r>
      </text>
    </comment>
    <comment ref="X5" authorId="0" shapeId="0" xr:uid="{00000000-0006-0000-0500-000003000000}">
      <text>
        <r>
          <rPr>
            <sz val="10"/>
            <rFont val="Arial"/>
            <family val="2"/>
          </rPr>
          <t>Nghị định 253/2026/NĐ-CP: tiền ăn giữa ca, ăn trưa miễn thuế tối đa 1,2 triệu đồng/người/tháng từ 1/7/2026 (trước đó 730.000 đ).</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K5" authorId="0" shapeId="0" xr:uid="{00000000-0006-0000-0600-000001000000}">
      <text>
        <r>
          <rPr>
            <sz val="10"/>
            <rFont val="Arial"/>
            <family val="2"/>
          </rPr>
          <t>Công tính lương = Công làm việc + phép năm (BCC!AJ) + nghỉ lễ, hội nghị, nghỉ bù, tai nạn, thâm niên (BCC!AL:AP). Tối đa tính bằng công chuẩn.</t>
        </r>
      </text>
    </comment>
    <comment ref="AE5" authorId="0" shapeId="0" xr:uid="{00000000-0006-0000-0600-000002000000}">
      <text>
        <r>
          <rPr>
            <sz val="10"/>
            <rFont val="Arial"/>
            <family val="2"/>
          </rPr>
          <t>Đơn giá tăng ca bình quân trong tháng, quy đổi từ Đơn giá ngày thường (cột AF) theo hệ số 150/200/300% và số giờ TC từng loại - chỉ áp dụng cho Bộ Phận bốc xếp theo Quyết định trả lương. Căn cứ Điều 98 Bộ luật Lao động 2019 và Điều 55 Nghị định 145/2020/NĐ-CP.
Lưu ý: dữ liệu chấm công hiện chưa ghi nhận giờ làm thêm ban đêm (22h-6h) nên chưa cộng thêm phần phụ trội làm đêm (tối thiểu +30%, hoặc +20% nữa nếu vừa làm thêm vừa làm đêm - khoản 2,3 Điều 98). Nếu phát sinh, cần bổ sung cột giờ TC đêm và cộng thêm phần phụ trội tương ứng.</t>
        </r>
      </text>
    </comment>
    <comment ref="AG5" authorId="0" shapeId="0" xr:uid="{00000000-0006-0000-0600-000003000000}">
      <text>
        <r>
          <rPr>
            <sz val="10"/>
            <rFont val="Arial"/>
            <family val="2"/>
          </rPr>
          <t>Đơn giá lương giờ ngày làm việc bình thường = Lương chính tháng / (Tổng công thực tế trong tháng × 8 giờ).
Dùng làm mốc so sánh với đơn giá khoán 30.000đ/giờ để tách phần chịu thuế / miễn thuế theo Thông tư 111/2013/TT-BTC.</t>
        </r>
      </text>
    </comment>
    <comment ref="AH5" authorId="0" shapeId="0" xr:uid="{00000000-0006-0000-0600-000004000000}">
      <text>
        <r>
          <rPr>
            <sz val="10"/>
            <rFont val="Arial"/>
            <family val="2"/>
          </rPr>
          <t>Phần tiền tăng ca CHỊU THUẾ TNCN = phần tiền lương ứng với số giờ tăng ca VƯỢT trần pháp luật (&gt;40 giờ/tháng - Điều 60 Nghị định 145/2020/NĐ-CP), phân bổ theo đơn giá bình quân. Bằng 0 nếu tổng giờ TC trong tháng không vượt trần.</t>
        </r>
      </text>
    </comment>
    <comment ref="AI5" authorId="0" shapeId="0" xr:uid="{00000000-0006-0000-0600-000005000000}">
      <text>
        <r>
          <rPr>
            <sz val="10"/>
            <rFont val="Arial"/>
            <family val="2"/>
          </rPr>
          <t>Phần tiền tăng ca MIỄN THUẾ TNCN = Tiền tăng ca (AE) - Phần chịu thuế (AG).
Từ kỳ tính thuế năm 2026, toàn bộ tiền lương làm thêm giờ hợp pháp (trong trần giờ theo quy định) được miễn thuế TNCN theo khoản 8 Điều 4 Luật Thuế thu nhập cá nhân số 109/2025/QH15 (hiệu lực 01/7/2026). Khoản này được cộng thẳng vào Thực lĩnh (cột Y), không đưa vào Tổng Lương Thực Tế (cột L) chịu thuế/BHXH.</t>
        </r>
      </text>
    </comment>
    <comment ref="AK5" authorId="0" shapeId="0" xr:uid="{00000000-0006-0000-0600-000006000000}">
      <text>
        <r>
          <rPr>
            <sz val="10"/>
            <rFont val="Arial"/>
            <family val="2"/>
          </rPr>
          <t>= MIN(Công thực tế; Công chuẩn) / Công chuẩn. Lương cố định + phụ cấp được nhân hệ số này (theo QĐ lương: Công thực tế / Công chuẩn).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800-000001000000}">
      <text>
        <r>
          <rPr>
            <sz val="10"/>
            <rFont val="Arial"/>
            <family val="2"/>
          </rPr>
          <t>Mã nhân viên dùng để tra cứu tự động khi lập Hợp đồng lao động (sheet 'HĐ LAO ĐỘNG' và 'HĐ LAO ĐỘNG LX'). Định dạng mặc định: NV + số thứ tự 3 chữ số.</t>
        </r>
      </text>
    </comment>
    <comment ref="I2" authorId="0" shapeId="0" xr:uid="{00000000-0006-0000-0800-000002000000}">
      <text>
        <r>
          <rPr>
            <sz val="10"/>
            <rFont val="Arial"/>
            <family val="2"/>
          </rPr>
          <t>Mặc định: Cục Cảnh sát QLHC về TTXH (nơi cấp CCCD gắn chip trên toàn quốc từ 2021). Sửa lại nếu nhân viên có CMND/CCCD cấp trước đó tại nơi khác.</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I2" authorId="0" shapeId="0" xr:uid="{00000000-0006-0000-0900-000001000000}">
      <text>
        <r>
          <rPr>
            <sz val="10"/>
            <rFont val="Arial"/>
            <family val="2"/>
          </rPr>
          <t>Gõ Mã NV (ví dụ: NV003) đúng như trong sheet 'DS số TKNH' (cột 'Mã NV'). Toàn bộ thông tin cá nhân, ngày vào làm, mức lương bên dưới sẽ tự động điền theo mã này.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M2" authorId="0" shapeId="0" xr:uid="{00000000-0006-0000-0A00-000001000000}">
      <text>
        <r>
          <rPr>
            <sz val="10"/>
            <rFont val="Arial"/>
            <family val="2"/>
          </rPr>
          <t>Gõ Mã NV (ví dụ: NV012) đúng như trong sheet 'DS số TKNH' (cột 'Mã NV'). Toàn bộ thông tin cá nhân, ngày vào làm, mức lương bên dưới sẽ tự động điền theo mã này.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5" authorId="0" shapeId="0" xr:uid="{00000000-0006-0000-1000-000001000000}">
      <text>
        <r>
          <rPr>
            <sz val="10"/>
            <rFont val="Arial"/>
            <family val="2"/>
          </rPr>
          <t>Mức lương tối thiểu vùng I từ 01/01/2026 theo Nghị định 293/2025/NĐ-CP (thay thế Nghị định 74/2024/NĐ-CP): 5.310.000đ/tháng. Trụ sở công ty tại phường Thanh Xuân, Hà Nội thuộc địa bàn Vùng I.
Ô này là input — cập nhật khi Nhà nước điều chỉnh lương tối thiểu vùng, toàn bộ hệ số lương bên dưới sẽ tự tính lại.</t>
        </r>
      </text>
    </comment>
  </commentList>
</comments>
</file>

<file path=xl/sharedStrings.xml><?xml version="1.0" encoding="utf-8"?>
<sst xmlns="http://schemas.openxmlformats.org/spreadsheetml/2006/main" count="2765" uniqueCount="2023">
  <si>
    <t>QUYẾT ĐỊNH LƯƠNG VÀ THỜI GIAN LÀM VIỆC CỦA LAO ĐỘNG</t>
  </si>
  <si>
    <t>STT</t>
  </si>
  <si>
    <t xml:space="preserve"> HỌ VÀ TÊN</t>
  </si>
  <si>
    <t>CHỨC VỤ</t>
  </si>
  <si>
    <t>MỨC LƯƠNG</t>
  </si>
  <si>
    <t>ĐIỆN THOẠI</t>
  </si>
  <si>
    <t>TRÁCH NHIỆM</t>
  </si>
  <si>
    <t>TIỀN ĂN</t>
  </si>
  <si>
    <t>LƯƠNG THỬ VIỆC</t>
  </si>
  <si>
    <t>LƯƠNG BH</t>
  </si>
  <si>
    <t>THỜI GIAN HỌC VIỆC</t>
  </si>
  <si>
    <t>THỜI GIAN THỬ VIỆC</t>
  </si>
  <si>
    <t xml:space="preserve">THỜI GIAN CHÍNH THỨC </t>
  </si>
  <si>
    <t xml:space="preserve">THỜI GIAN NGHỈ VIỆC </t>
  </si>
  <si>
    <t xml:space="preserve">GHI CHÚ </t>
  </si>
  <si>
    <t>Giám Đốc</t>
  </si>
  <si>
    <t>I</t>
  </si>
  <si>
    <t>Nhân viên chứng từ</t>
  </si>
  <si>
    <t>BỘ PHẬN LÁI XE</t>
  </si>
  <si>
    <t>Tài xế xe tải</t>
  </si>
  <si>
    <t>Mức đầy đủ; hệ thống tự quy đổi theo công thực tế ở BCC (T7: 17 công)</t>
  </si>
  <si>
    <t>BẢNG CHẤM CÔNG</t>
  </si>
  <si>
    <t xml:space="preserve">Tháng </t>
  </si>
  <si>
    <t xml:space="preserve">Năm </t>
  </si>
  <si>
    <t>Họ và tên</t>
  </si>
  <si>
    <t>Chức vụ</t>
  </si>
  <si>
    <t>Ngày trong tháng</t>
  </si>
  <si>
    <t>Công
làm
việc
thực tế
(*)</t>
  </si>
  <si>
    <t>Ngày nghỉ có hưởng lương</t>
  </si>
  <si>
    <t>Số giờ tăng ca (OT)</t>
  </si>
  <si>
    <t>Ngày nghỉ không hưởng lương</t>
  </si>
  <si>
    <t>Ghi chú</t>
  </si>
  <si>
    <t>Kiểm tra
trần TC
(≤40h/tháng)</t>
  </si>
  <si>
    <t>Loại</t>
  </si>
  <si>
    <t>Nghỉ
phép năm
(P)</t>
  </si>
  <si>
    <t>Nghỉ
phép lễ
(L)</t>
  </si>
  <si>
    <t>Hội nghị
nghỉ
(H)</t>
  </si>
  <si>
    <t>Nghỉ bù
(NB)</t>
  </si>
  <si>
    <t>Tai nạn
nam
(T)</t>
  </si>
  <si>
    <t>Thâm
niên
(TN)</t>
  </si>
  <si>
    <t>Ngày
thường
(150%)</t>
  </si>
  <si>
    <t>Chủ
nhật</t>
  </si>
  <si>
    <t>Ngày
lễ</t>
  </si>
  <si>
    <t>Nghỉ
không
hưởng lương
(KL)</t>
  </si>
  <si>
    <t>Nghỉ
bản thân
ốm
(OM)</t>
  </si>
  <si>
    <t>Nghỉ
con ốm
(CO)</t>
  </si>
  <si>
    <t>Nghỉ
thai sản
(TS)</t>
  </si>
  <si>
    <t>Nghỉ
lao động
nghĩa vụ
(LĐ)</t>
  </si>
  <si>
    <t>HC</t>
  </si>
  <si>
    <t>Tăng ca</t>
  </si>
  <si>
    <t>x</t>
  </si>
  <si>
    <t>O</t>
  </si>
  <si>
    <t>Ký hiệu chấm công</t>
  </si>
  <si>
    <t>I. Chấm công tính lương ngày đi làm</t>
  </si>
  <si>
    <t>II. Nghỉ có hưởng lương</t>
  </si>
  <si>
    <t>III. Nghỉ không hưởng lương</t>
  </si>
  <si>
    <t>IV. Quy ước màu nền</t>
  </si>
  <si>
    <t>X</t>
  </si>
  <si>
    <t>Chấm công làm việc ngày thường</t>
  </si>
  <si>
    <t>P</t>
  </si>
  <si>
    <t>Chấm phép năm</t>
  </si>
  <si>
    <t>KL</t>
  </si>
  <si>
    <t>Nghỉ không hưởng lương</t>
  </si>
  <si>
    <t>Ô người dùng được nhập</t>
  </si>
  <si>
    <t>X/2</t>
  </si>
  <si>
    <t>Chấm công làm việc 1/2 ngày thường</t>
  </si>
  <si>
    <t>P/2</t>
  </si>
  <si>
    <t>Chấm 1/2 ngày phép năm</t>
  </si>
  <si>
    <t>OM</t>
  </si>
  <si>
    <t>Nghỉ bản thân ốm (Có giấy nghỉ ốm do bệnh viện cấp)</t>
  </si>
  <si>
    <t>Ô tự động</t>
  </si>
  <si>
    <t>L</t>
  </si>
  <si>
    <t>Ngày lễ</t>
  </si>
  <si>
    <t>CO</t>
  </si>
  <si>
    <t>Nghỉ con ốm (Có giấy nghỉ con ốm do bệnh viện cấp)</t>
  </si>
  <si>
    <t>Tiêu đề</t>
  </si>
  <si>
    <t>H</t>
  </si>
  <si>
    <t>Hội nghị, học tập</t>
  </si>
  <si>
    <t>TS</t>
  </si>
  <si>
    <t>Nghỉ thai sản</t>
  </si>
  <si>
    <t>Ngày nghỉ cuối tuần và ngày lễ</t>
  </si>
  <si>
    <t>NB</t>
  </si>
  <si>
    <t>Nghỉ bù</t>
  </si>
  <si>
    <t>LĐ</t>
  </si>
  <si>
    <t>Lao động nghĩa vụ</t>
  </si>
  <si>
    <t>Chấm công giờ hành chính (bằng ký hiệu đã quy ước)</t>
  </si>
  <si>
    <t>T</t>
  </si>
  <si>
    <t>Nghỉ tai nạn</t>
  </si>
  <si>
    <t>Chấm giờ tăng ca (Nhập số giờ tăng ca)</t>
  </si>
  <si>
    <t>Người lập</t>
  </si>
  <si>
    <t>Ban QLTN</t>
  </si>
  <si>
    <t>Lãnh đạo Công ty</t>
  </si>
  <si>
    <t>Hướng dẫn sử dụng:</t>
  </si>
  <si>
    <t>1. Chọn tháng chấm công</t>
  </si>
  <si>
    <t>- Tại ô Tháng/Năm trên đầu bảng, nhập tháng cần chấm công theo định dạng:</t>
  </si>
  <si>
    <t>Chức 
vụ</t>
  </si>
  <si>
    <t>Thưởng + Định mức</t>
  </si>
  <si>
    <t>Tổng</t>
  </si>
  <si>
    <t>TÍNH THUẾ TNCN THÁNG</t>
  </si>
  <si>
    <t xml:space="preserve">Tiền Dư </t>
  </si>
  <si>
    <t>Tạm ứng</t>
  </si>
  <si>
    <t>Thưởng KPI KD &amp; sale, Bốc xếp</t>
  </si>
  <si>
    <t>Lương Chuyến LX</t>
  </si>
  <si>
    <t>NV</t>
  </si>
  <si>
    <t>Người phụ thuộc</t>
  </si>
  <si>
    <t>Con</t>
  </si>
  <si>
    <t>Cha</t>
  </si>
  <si>
    <t>Ông</t>
  </si>
  <si>
    <t>Bà</t>
  </si>
  <si>
    <t>Mã số BHXH</t>
  </si>
  <si>
    <t>Lương đóng BH</t>
  </si>
  <si>
    <t>Tiền đóng BH (32%)</t>
  </si>
  <si>
    <t>Trừ vào lương NLĐ</t>
  </si>
  <si>
    <t>DN chi trả</t>
  </si>
  <si>
    <t>BHXH(8%)</t>
  </si>
  <si>
    <t>BHYT(1.5%)</t>
  </si>
  <si>
    <t>BHTN(1%)</t>
  </si>
  <si>
    <t>Cộng(10.5%)</t>
  </si>
  <si>
    <t>BHXH(17.5%)</t>
  </si>
  <si>
    <t>BHYT(3%)</t>
  </si>
  <si>
    <t>Cộng (21.5%)</t>
  </si>
  <si>
    <t>TỔNG CỘNG</t>
  </si>
  <si>
    <t>Trong đó:</t>
  </si>
  <si>
    <t xml:space="preserve">DN chịu 21.5 % </t>
  </si>
  <si>
    <t>Người lao động chịu 10.5%</t>
  </si>
  <si>
    <t>Tổng cộng</t>
  </si>
  <si>
    <t>TPHCM, ngày …........... tháng …......... năm 2026</t>
  </si>
  <si>
    <t xml:space="preserve">GIÁM ĐỐC </t>
  </si>
  <si>
    <t>QUẢN LÝ</t>
  </si>
  <si>
    <t>PHÒNG KẾ TOÁN</t>
  </si>
  <si>
    <t>NGƯỜI LẬP</t>
  </si>
  <si>
    <t>MST</t>
  </si>
  <si>
    <t>Tiền 
Lương</t>
  </si>
  <si>
    <t>Thưởng 
(phụ cấp, kinh doanh, thưởng tết)</t>
  </si>
  <si>
    <t>Tạm ứng Tháng</t>
  </si>
  <si>
    <t>Thưởng</t>
  </si>
  <si>
    <t>Tổng 
Thu nhập</t>
  </si>
  <si>
    <t>Thu nhập
 miễn thuế</t>
  </si>
  <si>
    <t>Thu nhập
chịu thuế</t>
  </si>
  <si>
    <t>Các khoản giảm trừ</t>
  </si>
  <si>
    <t>Các khoản không chịu thuế</t>
  </si>
  <si>
    <t>Thu nhập tính thuế</t>
  </si>
  <si>
    <t>Thuế TNCN</t>
  </si>
  <si>
    <t>TNCN KTTN</t>
  </si>
  <si>
    <t>Tăng Ca 
chịu thuế</t>
  </si>
  <si>
    <t>Dòng Bảng lương (trợ giúp)</t>
  </si>
  <si>
    <t>THAM SỐ THUẾ</t>
  </si>
  <si>
    <t>Bản thân</t>
  </si>
  <si>
    <t>Người 
phụ thuộc</t>
  </si>
  <si>
    <t>Bảo hiểm</t>
  </si>
  <si>
    <t>Tăng Ca 
miễn thuế</t>
  </si>
  <si>
    <t>Điện thoại</t>
  </si>
  <si>
    <t>Tiền ăn</t>
  </si>
  <si>
    <t>Giảm trừ bản thân (đ/tháng)</t>
  </si>
  <si>
    <t>I. BAN GIÁM ĐỐC</t>
  </si>
  <si>
    <t>Giảm trừ mỗi người phụ thuộc (đ/tháng)</t>
  </si>
  <si>
    <t>Mức miễn thuế tiền ăn giữa ca/ăn trưa (đ/tháng, từ 1/7/2026)</t>
  </si>
  <si>
    <t>CÔNG TY ….................</t>
  </si>
  <si>
    <t>Địa chỉ: ….............</t>
  </si>
  <si>
    <t>Lương
Chính</t>
  </si>
  <si>
    <t>Phụ cấp</t>
  </si>
  <si>
    <t>Công Thực tế</t>
  </si>
  <si>
    <t>Công Chuẩn</t>
  </si>
  <si>
    <t>Tổng Lương
Thực Tế</t>
  </si>
  <si>
    <t>Lương
đóng BH</t>
  </si>
  <si>
    <t>Trích vào Chi phí Doanh nghiệp</t>
  </si>
  <si>
    <t>Trích vào Lương nhân viên</t>
  </si>
  <si>
    <t>Tổng trừ lương</t>
  </si>
  <si>
    <t>Thực 
lĩnh</t>
  </si>
  <si>
    <t>Giờ TC
150%</t>
  </si>
  <si>
    <t>Giờ TC
200%</t>
  </si>
  <si>
    <t>Giờ TC
300%</t>
  </si>
  <si>
    <t>Tổng giờ
tăng ca</t>
  </si>
  <si>
    <t>Đơn giá TC
(đ/giờ)</t>
  </si>
  <si>
    <t>Tiền
tăng ca</t>
  </si>
  <si>
    <t>Đơn giá
ngày thường
(đ/giờ)</t>
  </si>
  <si>
    <t>TC
chịu thuế</t>
  </si>
  <si>
    <t>TC
miễn thuế</t>
  </si>
  <si>
    <t>Ghi Chú</t>
  </si>
  <si>
    <t>Hệ số công
(Công TT/Công chuẩn, tối đa 1)</t>
  </si>
  <si>
    <t>Trách nhiệm</t>
  </si>
  <si>
    <t>Tiền ăn ttrưa</t>
  </si>
  <si>
    <t>Định mức Lương chuyến LX, Định mức lương KD &amp; sale</t>
  </si>
  <si>
    <t>BHXH
(17.5%)</t>
  </si>
  <si>
    <t>BHYT
(3%)</t>
  </si>
  <si>
    <t>BHTN
(1%)</t>
  </si>
  <si>
    <t>Cộng
20,5%</t>
  </si>
  <si>
    <t>BHXH
(8%)</t>
  </si>
  <si>
    <t>BHYT
(1,5%)</t>
  </si>
  <si>
    <t>Cộng
10,5%</t>
  </si>
  <si>
    <t>Trừ Thuế TNCN</t>
  </si>
  <si>
    <t>Các Khoản trừ</t>
  </si>
  <si>
    <t>Công đoàn</t>
  </si>
  <si>
    <t>TỔNG CỘNG</t>
  </si>
  <si>
    <t>TP HCM, ngày 0…. tháng 0…. năm 202….</t>
  </si>
  <si>
    <t>GIÁM ĐỐC</t>
  </si>
  <si>
    <t>Công chuẩn</t>
  </si>
  <si>
    <t>Chức danh</t>
  </si>
  <si>
    <t>Tổng công Thực tế</t>
  </si>
  <si>
    <t>CÁC KHOẢN THU NHẬP</t>
  </si>
  <si>
    <t>SỐ TIỀN</t>
  </si>
  <si>
    <t>CÁC KHOẢN TRỪ</t>
  </si>
  <si>
    <t>Lương theo công</t>
  </si>
  <si>
    <t>BHXH (8%)</t>
  </si>
  <si>
    <t>Phụ cấp trách nhiệm</t>
  </si>
  <si>
    <t>BHYT (1,5%)</t>
  </si>
  <si>
    <t>Phụ cấp ăn trưa</t>
  </si>
  <si>
    <t>BHTN (1%)</t>
  </si>
  <si>
    <t>Phụ cấp điện thoại</t>
  </si>
  <si>
    <t>Hiệu suất cv / Định mức / Thưởng</t>
  </si>
  <si>
    <t>Tạm ứng / Khác</t>
  </si>
  <si>
    <t>Tăng ca (phần chịu thuế)</t>
  </si>
  <si>
    <t>(A)</t>
  </si>
  <si>
    <t>TỔNG THU NHẬP</t>
  </si>
  <si>
    <t>(B)</t>
  </si>
  <si>
    <t>TỔNG CÁC KHOẢN TRỪ</t>
  </si>
  <si>
    <t xml:space="preserve">Tổng cộng: = A-B + C </t>
  </si>
  <si>
    <t>(C)</t>
  </si>
  <si>
    <t>Tổng Tăng ca miễn thuế</t>
  </si>
  <si>
    <t>THỰC LĨNH (Tổng thu nhập - Tổng khoản trừ)</t>
  </si>
  <si>
    <t>Người lập phiếu</t>
  </si>
  <si>
    <t>Người nhận tiền</t>
  </si>
  <si>
    <t>DANH SÁCH SỐ TÀI KHOẢN NGÂN HÀNG &amp; HỒ SƠ NHÂN VIÊN</t>
  </si>
  <si>
    <t>TÊN NV</t>
  </si>
  <si>
    <t>CHỨC DANH</t>
  </si>
  <si>
    <t>Mã NV</t>
  </si>
  <si>
    <t>Ngày sinh</t>
  </si>
  <si>
    <t>Giới tính</t>
  </si>
  <si>
    <t>Số CCCD</t>
  </si>
  <si>
    <t>Ngày cấp
CCCD</t>
  </si>
  <si>
    <t>Nơi cấp CCCD</t>
  </si>
  <si>
    <t>Địa chỉ
thường trú</t>
  </si>
  <si>
    <t>Địa chỉ
hiện tại</t>
  </si>
  <si>
    <t>Số điện thoại</t>
  </si>
  <si>
    <t>Ngày vào làm</t>
  </si>
  <si>
    <t>Loại hợp đồng</t>
  </si>
  <si>
    <t>Số tài khoản</t>
  </si>
  <si>
    <t>Ngân hàng</t>
  </si>
  <si>
    <t>Chi nhánh</t>
  </si>
  <si>
    <t>Note</t>
  </si>
  <si>
    <t>Cục Cảnh sát QLHC về TTXH</t>
  </si>
  <si>
    <t>Không xác định thời hạn</t>
  </si>
  <si>
    <t xml:space="preserve">                                                                                                                                                                                                      </t>
  </si>
  <si>
    <t>CÔNG TY TNHH …..</t>
  </si>
  <si>
    <t>CỘNG HÒA XÃ HỘI CHỦ NGHĨA VIỆT NAM</t>
  </si>
  <si>
    <t>Nhập Mã NV để tự động điền hợp đồng:</t>
  </si>
  <si>
    <t>Độc lập - Tự do - Hạnh phúc</t>
  </si>
  <si>
    <t>Số: …/HĐLĐ-…</t>
  </si>
  <si>
    <t>……, ngày … tháng …. năm 202…</t>
  </si>
  <si>
    <t>BẢNG TRA CỨU (ẨN, hàng 5-18) - KHÔNG XÓA</t>
  </si>
  <si>
    <t>HỢP ĐỒNG LAO ĐỘNG</t>
  </si>
  <si>
    <t>Tên NV</t>
  </si>
  <si>
    <t>Chúng tôi, một bên là:</t>
  </si>
  <si>
    <t>Ông: …</t>
  </si>
  <si>
    <t>Quốc tịch: Việt Nam</t>
  </si>
  <si>
    <t>Chức vụ: …</t>
  </si>
  <si>
    <t>Đại diện cho (1): Công Ty TNHH ….</t>
  </si>
  <si>
    <t>Ngày cấp CCCD</t>
  </si>
  <si>
    <t>Địa chỉ: ….</t>
  </si>
  <si>
    <t>Và một bên là:</t>
  </si>
  <si>
    <t>Địa chỉ thường trú</t>
  </si>
  <si>
    <t>Địa chỉ hiện tại</t>
  </si>
  <si>
    <t>Ngày cấp: ….. Nơi cấp: …..</t>
  </si>
  <si>
    <t>Mức lương</t>
  </si>
  <si>
    <t>Thỏa thuận ký kết hợp đồng lao động (“HĐLĐ”) và cam kết làm đúng những điều khoản sau đây:</t>
  </si>
  <si>
    <t>Điều 1: Thời hạn và công việc hợp đồng</t>
  </si>
  <si>
    <t>- Địa điểm làm việc (4): ….. và các địa điểm khác theo yêu cầu.</t>
  </si>
  <si>
    <t>- Công việc phải làm (5):</t>
  </si>
  <si>
    <t>ü Theo bản Mô tả công việc;</t>
  </si>
  <si>
    <t>ü Người lao động (“NLĐ”) thực hiện công việc theo đúng chức danh chuyên môn dưới sự quản lý, điều hành của Người sử dụng lao động (“NSDLĐ”) (và các cá nhân được bổ nhiệm và ủy quyền của NSDLĐ). Đồng thời phối hợp với các bộ phận khác trong Công ty để phát huy hiệu quả công việc.</t>
  </si>
  <si>
    <t>Điều 2: THỜI GIỜ LÀM VIỆC VÀ NGHỈ NGƠI</t>
  </si>
  <si>
    <t>- Thời gian làm việc (6): 08 giờ/ngày, 48 giờ/tuần</t>
  </si>
  <si>
    <t>ü Buổi sáng: từ 07h00 đến 11h30</t>
  </si>
  <si>
    <t>ü Buổi chiều: từ 13h00 đến 16h30</t>
  </si>
  <si>
    <t>Thời gian cụ thể theo quy định trong Nội quy, Quy chế nội bộ của Công ty và các quyết định của Công ty trong từng giai đoạn cụ thể.</t>
  </si>
  <si>
    <t>- Được cấp phát những công cụ - dụng cụ, thiết bị làm việc gồm: NLĐ được trang bị bảo hộ lao động cần thiết, phù hợp với nội dung và tính chất công việc. Khi xảy ra thiệt hại, NSDLĐ sẽ áp dụng trách nhiệm vật chất trong việc sử dụng và bảo quản dụng cụ làm việc của NLĐ theo quy định của Pháp luật hiện hành, Quy định và Nội quy của Công ty.</t>
  </si>
  <si>
    <t>Điều 3: Quyền lợi, nghĩa vụ, trách nhiệm và cam kết của NLĐ</t>
  </si>
  <si>
    <t>- Quyền lợi:</t>
  </si>
  <si>
    <t>1. Tiền lương (7):</t>
  </si>
  <si>
    <t>- Phụ cấp trách nhiệm: …đồng/tháng</t>
  </si>
  <si>
    <t>- Phụ cấp chức vụ: ….. đồng/tháng</t>
  </si>
  <si>
    <t>Tổng cộng: ……… đồng/tháng</t>
  </si>
  <si>
    <t>2. Thời hạn trả lương: Được trả lương vào ngày cuối tháng.</t>
  </si>
  <si>
    <t>3. Chế độ nâng lương: theo quy chế lương thưởng của công ty.</t>
  </si>
  <si>
    <t>4. Loại tiền tệ trả thu nhập: Tiền đồng Việt Nam</t>
  </si>
  <si>
    <t>5. Hình thức trả thu nhập: Tiền mặt hoặc chuyển khoản</t>
  </si>
  <si>
    <t>ü Được trang bị bảo hộ lao động gồm: Theo quy định của Công ty.</t>
  </si>
  <si>
    <t>ü Trong trường hợp NLĐ phải làm thêm giờ hoặc làm thêm ngày lễ, ngày Tết thì chế độ cho NLĐ sẽ được NSDLĐ thực hiện theo quy định của Công ty và phù hợp với Luật lao động.</t>
  </si>
  <si>
    <t>ü Bảo hiểm xã hội, bảo hiểm y tế, bảo hiểm thất nghiêp (10): Được tham gia bảo hiểm theo quy định của Luật bảo hiểm về mức đóng và tỉ lệ đóng. (Trong thời gian thử việc, NLĐ chưa được tham gia BHXH, BHYT và BHTN).</t>
  </si>
  <si>
    <t>ü Chế độ đào tạo: Đã được bồi dưỡng chuyên môn nghiệp vụ và đào tạo kiến thức chung theo quy định của Công ty.</t>
  </si>
  <si>
    <t>ü Những thỏa thuận khác: Theo quy định nội bộ của Công ty và phụ lục hợp đồng (nếu có).</t>
  </si>
  <si>
    <t>- Nghĩa vụ, trách nhiệm:</t>
  </si>
  <si>
    <t>ü Hoàn thành những nội dung đã cam kết và những công việc trong HĐLĐ.</t>
  </si>
  <si>
    <t>ü Chấp hành lệnh điều hành sản xuất – kinh doanh, Nội quy – Quy định kỷ luật lao động, an toàn lao động.</t>
  </si>
  <si>
    <t>ü Chấp hành và tuân thủ các quy định về: Quy định làm việc, tác phong, trách nhiệm,… theo nội quy Công ty.</t>
  </si>
  <si>
    <t>ü Chấp hành theo sự điều động, phân công công việc của người quản lý trực tiếp.</t>
  </si>
  <si>
    <t>ü Tuyệt đối không sử dụng khách hàng của Công ty để trục lợi cá nhân.</t>
  </si>
  <si>
    <t>ü NLĐ có nhu cầu xin nghỉ việc/chấm dứt HĐLĐ phải tuân thủ thời hạn báo trước của Luật lao động và thông báo bằng văn bản cho Công ty, Cụ thể như sau:</t>
  </si>
  <si>
    <t>§ HĐLĐ xác định thời hạn dưới 12 tháng</t>
  </si>
  <si>
    <t>: 07 ngày</t>
  </si>
  <si>
    <t>§ HĐLĐ xác định thời hạn từ 12-36 tháng</t>
  </si>
  <si>
    <t>: 30 ngày</t>
  </si>
  <si>
    <t>§ HĐLĐ không xác định thời hạn</t>
  </si>
  <si>
    <t>: 45 ngày</t>
  </si>
  <si>
    <t>- NLĐ sẽ bị sa thải nếu có hành vi đã được ghi nhận tại điều 126 Bộ luật lao động, cụ thể:</t>
  </si>
  <si>
    <t>ü NLĐ có hành vi trộm cắp, tham ô, tiết lộ bí mật công nghệ, kinh doanh hoặc có hành vi khác gây thiệt hại nghiêm trọng về tài sản, lợi ích của doanh nghiệp. Những hành vi gây thiệt hại nghiêm trọng về tài sản, lợi ích của doanh nghiệp thì được ghi nhận cụ thể tại nội quy lao động của Công ty;</t>
  </si>
  <si>
    <t>ü NLĐ bị xử lý kỷ luật kéo dài thời hạn nâng lương, chuyển làm công việc khác mà tái phạm trọng thời hạn chưa xóa bỏ kỷ luật hoặc bị xử lý kỷ luật cách chức mà tái phạm;</t>
  </si>
  <si>
    <t>ü NLĐ tự ý bỏ việc 05 ngày cộng dồn trong một tháng hoặc 20 ngày cộng dồn trong một năm mà không có lý do chính đáng.</t>
  </si>
  <si>
    <t>- Cam kết:</t>
  </si>
  <si>
    <t>ü NLĐ cam kết rằng mọi thông tin nội bộ của Công ty gồm báo cáo hàng tuần, hàng tháng, danh sách khách hàng, nhà cung cấp, quản lý điều hành và các thông tin nội bộ khác là thông tin mật.</t>
  </si>
  <si>
    <t>ü NLĐ cam kết không tiết lộ, mua bán, trao đổi, chia sẻ thông tin mật cho bên thứ ba dưới bất cứ hình thức nào.</t>
  </si>
  <si>
    <t>ü Trường hợp Công ty có chứng cứ cho rằng NLĐ tiết lộ thông tin ảnh hưởng đến kinh doanh, uy tín, thương hiệu của Công ty thì NLĐ phải bồi thường 100% giá trị thiệt hại cho Công ty (theo kết quả giám định thiệt hại thực tế).</t>
  </si>
  <si>
    <t>- Trong quá trình làm việc, NLĐ sẽ chịu sự quản lý và đánh giá của NSDLĐ (hoặc cá nhân được ủy quyền của NSDLĐ). Trường hợp NLĐ không đáp ứng được yêu cầu công việc thì NSDLĐ có quyền chấm dứt và thanh lý hợp đồng với NLĐ theo quy định và thỏa thuận của hai bên.</t>
  </si>
  <si>
    <t>- NLĐ hoàn lại tiền cấp đồng phục nếu nhân viên làm việc dưới 12 tháng.</t>
  </si>
  <si>
    <t>Điều 4: Nghĩa vụ và quyền hạn của người sử dụng lao động</t>
  </si>
  <si>
    <t>- Nghĩa vụ:</t>
  </si>
  <si>
    <t>ü Bảo đảm việc làm và thực hiện đầy đủ những điều khoản trong hợp đồng.</t>
  </si>
  <si>
    <t>ü Thanh toán đầy đủ, đúng thời hạn các chế độ và quyền lợi cho NLĐ theo hợp đồng này.</t>
  </si>
  <si>
    <t>- Quyền hạn:</t>
  </si>
  <si>
    <t>ü Điều hành NLĐ hoàn thành công việc theo hợp đồng (bố trí, điều chuyển, tạm ngừng việc).</t>
  </si>
  <si>
    <t>ü Tạm hoãn, chấm dứt hợp đồng, kỷ luật NLĐ theo quy định của pháp luật, và nội quy lao động của Công ty.</t>
  </si>
  <si>
    <t>ü NSDLĐ có quyền xử lý các vi phạm kỷ luật của NLĐ bằng một trong các hình thức sau: khiển trách; kéo dài thời gian nâng lương, thưởng; sa thải.</t>
  </si>
  <si>
    <t>Điều 5: Các nội dung khác:</t>
  </si>
  <si>
    <t>- Ngoài các khoản tiền lương và phụ cấp mà người lao động nhận được tại Điều 3 của hợp đồng lao động này, người lao động còn được nhận các khoản khác như sau:</t>
  </si>
  <si>
    <t>1. Chế độ:</t>
  </si>
  <si>
    <t>+ Ăn trưa: …. đồng/tháng (Hoặc …./ngày)</t>
  </si>
  <si>
    <t>+ Điện thoại: …. đồng/tháng</t>
  </si>
  <si>
    <t>+ Xăng xe: …. đồng/tháng</t>
  </si>
  <si>
    <t>+ Nhà ở: …… đồng/tháng</t>
  </si>
  <si>
    <t>Tổng cộng: …….. đồng/tháng</t>
  </si>
  <si>
    <t>2. Các khoản phúc lợi khác: theo quy chế lương thưởng của công ty</t>
  </si>
  <si>
    <t>3. Tiền thưởng lễ, tết: Được hưởng theo quy chế lương thưởng chung của toàn công ty.</t>
  </si>
  <si>
    <t>Điều 6: Đơn phương chấm dứt hợp đồng:</t>
  </si>
  <si>
    <t>1. Người sử dụng lao động</t>
  </si>
  <si>
    <t>- Người lao động thường xuyên không hoàn thành công việc theo hợp đồng.</t>
  </si>
  <si>
    <t>- Do thiên tai, hỏa hoạn, hoặc những lý do bất khả kháng khác mà người sử dụng lao động đã tìm mọi biện pháp khắc phục nhưng vẫn buộc phải thu hẹp sản xuất, giảm chỗ làm việc.</t>
  </si>
  <si>
    <t>- Doanh nghiệp, cơ quan, tổ chức chấm dứt hoạt động.</t>
  </si>
  <si>
    <t>- Người lao động có hành vi gây thiệt hại nghiêm trọng về tài sản và lợi ích của Bên A.</t>
  </si>
  <si>
    <t>- Người lao động tự ý bỏ việc 5 ngày/1 tháng và 20 ngày/1 năm.</t>
  </si>
  <si>
    <t>- Người lao động vi phạm Pháp luật Nhà nước.</t>
  </si>
  <si>
    <t>2. Người lao động</t>
  </si>
  <si>
    <t>- Không được bố trí theo đúng công việc, địa điểm làm việc hoặc không được bảo đảm các điều kiện làm việc đã thỏa thuận trong hợp đồng.</t>
  </si>
  <si>
    <t>- Không được trả công đầy đủ hoặc trả công không đúng thời hạn đã thoả thuận trong hợp đồng.</t>
  </si>
  <si>
    <t>- Bị ngược đãi, bị cưỡng bức lao động.</t>
  </si>
  <si>
    <t>- Bản thân hoặc gia đình thật sự có hoàn cảnh khó khăn không thể tiếp tục thực hiện hợp đồng.</t>
  </si>
  <si>
    <t>- Người lao động nữ có thai phải nghỉ việc theo chỉ định của thầy thuốc.</t>
  </si>
  <si>
    <t>- Người lao động bị ốm đau, tai nạn đã điều trị 03 tháng liền mà khả năng lao động chưa được hồi phục.</t>
  </si>
  <si>
    <t>Điều 7. Bảo mật thông tin</t>
  </si>
  <si>
    <t>Người lao động không được cung cấp thông tin về công việc, quy trình chế biến, công thức các sản phẩm, danh sách nhà cung cấp, dữ liệu khách hàng, chiến lược kinh doanh của Người sử dụng lao động với bất kỳ ai, với bất kỳ hình thức nào cho bên thứ ba khác mà chưa được sự đồng ý của Người sử dụng lao động.</t>
  </si>
  <si>
    <t>Trường hợp Người lao động vô tình hay cố ý tiết lộ các thông tin về công việc, quy trình chế biến, công thức các sản phẩm của Người sử dụng lao động sẽ bị xử lý kỷ luật. Nếu gây ra thiệt hại về danh tiếng, lợi ích thì Bên A có quyền yêu cầu bồi thường thiệt hại theo thực tế mà Người sử dụng lao động thống kê và theo quy định pháp luật.</t>
  </si>
  <si>
    <t>Điều 8: Điều khoản thi hành</t>
  </si>
  <si>
    <t>- Những vấn đề về lao động không ghi trong HĐLĐ này được áp dụng theo Quy định của Nội quy lao động và Pháp luật lao động.</t>
  </si>
  <si>
    <t>- HĐLĐ này được lập thành 02 bản có giá trị như nhau, mỗi bên giữ 01 bản.</t>
  </si>
  <si>
    <t>- Trong trường hợp hai bên ký kết phụ lục HĐLĐ thì nội dung của phụ lục hợp đồng cũng có giá trị như các nội dung của bản HĐLĐ này.</t>
  </si>
  <si>
    <t>HĐLĐ này được làm tại Công ty TNHH …… và có hiệu lực kể từ ngày ký.</t>
  </si>
  <si>
    <t>NGƯỜI LAO ĐỘNG</t>
  </si>
  <si>
    <t>NGƯỜI SỬ DỤNG LAO ĐỘNG</t>
  </si>
  <si>
    <t>….</t>
  </si>
  <si>
    <t>…..</t>
  </si>
  <si>
    <t>BẢNG TRA CỨU (ẨN, hàng 2-15) - KHÔNG XÓA</t>
  </si>
  <si>
    <t>Số: 010625-01/HDLD/VP-CM</t>
  </si>
  <si>
    <t>———o0o———</t>
  </si>
  <si>
    <t>….......... ngày …. tháng 0…. năm 2026</t>
  </si>
  <si>
    <t>Chúng tôi, một bên là Ông: ……………………….Quốc tịch: Việt Nam</t>
  </si>
  <si>
    <t>Chức vụ: Giám Đốc</t>
  </si>
  <si>
    <t>Đại diện cho: CÔNG TY TNHH …………………….</t>
  </si>
  <si>
    <t>Trụ sở chính: …………………………… …………….</t>
  </si>
  <si>
    <t>Điện thoại: …………………………..</t>
  </si>
  <si>
    <t>Thỏa thuận ký kết hợp đồng lao động và cam kết làm đúng những điều khoản sau đây:</t>
  </si>
  <si>
    <t>Địa điểm làm việc: ………………………….. …. ………. và (hoặc) một trong các địa điểm làm việc của Công ty khi có yêu cầu.</t>
  </si>
  <si>
    <t>Công việc phải làm: Chi tiết theo bảng Mô tả công việc kèm theo.</t>
  </si>
  <si>
    <t>Điều 2: Chế độ làm việc</t>
  </si>
  <si>
    <t>Thời giờ làm việc: 26 ngày / tháng</t>
  </si>
  <si>
    <t>Buổi sáng: 8h15 - 12h00</t>
  </si>
  <si>
    <t>Buổi chiều: Từ 13h30 - 17h45</t>
  </si>
  <si>
    <t>· Được cấp phát những dụng cụ làm việc gồm: Theo đặc thù ngành nghề và điều kiện công tác.</t>
  </si>
  <si>
    <t>Điều 3: Nghĩa vụ và quyền lợi của người lao động</t>
  </si>
  <si>
    <t>1. Quyền lợi:</t>
  </si>
  <si>
    <t>Phương tiện đi lại, làm việc: Cá nhân tự túc</t>
  </si>
  <si>
    <t>các khoản phụ cấp, trợ cấp theo quy định và chức vụ tại công ty</t>
  </si>
  <si>
    <t>Hưởng thu nhập theo Quy chế Công ty</t>
  </si>
  <si>
    <t>Hình thức trả lương: Tiền mặt hoặc chuyển khoản.</t>
  </si>
  <si>
    <t>Thời gian trả lương được trả lương vào ngày: 10 hàng tháng (01 kỳ/tháng)</t>
  </si>
  <si>
    <t>Chế độ nghỉ ngơi (nghỉ hàng tuần, phép năm, lễ tết…): Theo Quy định của nhà nước và đặc thù ngành nghề công tác.</t>
  </si>
  <si>
    <t>Bảo hiểm xã hội và bảo hiểm y tế: Theo quy định của Công ty và của Luật BHXH.</t>
  </si>
  <si>
    <t>Những thỏa thuận khác:</t>
  </si>
  <si>
    <t>Đào tạo, bồi dưỡng: Người lao động được đào tạo, bồi dưỡng, huấn luyện tại nơi làm việc hoặc được gửi đi đào tạo theo quy định của Công ty và yêu cầu công việc.</t>
  </si>
  <si>
    <t>Khen thưởng: Người lao động được khuyến khích bằng vật chất và tinh thần khi có thành tích trong công tác hoặc theo quy định của Công ty.</t>
  </si>
  <si>
    <t>Người lao động phải tuyệt đối tuân thủ Nội quy lao động, quy chế khen thưởng kỷ luật của Công ty.</t>
  </si>
  <si>
    <t>Người lao động sẵn sàng làm thêm giờ, hỗ trợ các bộ phận khác khi công việc phát sinh theo sự điều hành của người quản lý trực tiếp.</t>
  </si>
  <si>
    <t>Thu nhập căn cứ vào hiệu quả công việc của bản thân, kết quả SXKD của Công ty.</t>
  </si>
  <si>
    <t>2. Nghĩa vụ:</t>
  </si>
  <si>
    <t>· Hoàn thành những công việc đã cam kết trong hợp đồng lao động.</t>
  </si>
  <si>
    <t>Thực hiện công việc theo đúng chức danh chuyên môn của mình dưới sự quản lý, điều hành của Ban Giám đốc (và các cá nhân được bổ nhiệm hoặc ủy quyền phụ trách).</t>
  </si>
  <si>
    <t>Phối hợp cùng với các bộ phận, phòng ban khác trong Người sử dụng lao động để phát huy tối đa hiệu quả công việc.</t>
  </si>
  <si>
    <t>Hoàn thành những công việc khác tùy thuộc theo yêu cầu kinh doanh của Người sử dụng lao động và theo quyết định của Ban Giám đốc (và các cá nhân được bổ nhiệm hoặc ủy quyền phụ trách).</t>
  </si>
  <si>
    <t>Tuân thủ hợp đồng lao động.</t>
  </si>
  <si>
    <t>Thực hiện công việc với sự tận tâm, tận lực và mẫn cán, đảm bảo hoàn thành công việc với hiệu quả cao nhất theo sự phân công, điều hành (bằng văn bản hoặc bằng miệng) của Ban Giám đốc (và các cá nhân được Ban Giám đốc bổ nhiệm hoặc ủy quyền phụ trách).</t>
  </si>
  <si>
    <t>Hoàn thành công việc được giao và sẵn sàng chấp nhận mọi sự điều động khi có yêu cầu.</t>
  </si>
  <si>
    <t>Nắm rõ và chấp hành nghiêm túc kỷ luật lao động, an toàn lao động, vệ sinh lao động, phòng cháy chữa cháy, văn hóa Công ty, nội quy lao động và các chủ trương, chính sách của Công ty.</t>
  </si>
  <si>
    <t>Trong trường hợp được cử đi đào tạo thì nhân viên phải hoàn thành khóa học đúng thời hạn, phải cam kết sẽ phục vụ lâu dài cho Công ty sau khi kết thúc khóa học và được hưởng nguyên lương, các quyền lợi khác được hưởng như người đi làm.</t>
  </si>
  <si>
    <t>Trong thời hạn 07 ngày, kể từ ngày chấm dứt Hợp đồng lao động, hai bên có trách nhiệm thanh toán đầy đủ các khoản có liên quan đến quyền lợi của mỗi bên, trường hợp đặc biệt, có thể kéo dài nhưng không quá 30 ngày.</t>
  </si>
  <si>
    <t>Nếu sau khi kết thúc khóa đào tạo mà nhân viên không tiếp tục hợp tác với Công ty thì Công ty sẽ thu hồi lại tất cả văn bằng chứng chỉ mà nhân viên được nhận trong quá trình đào tạo. Nhân viên phải hoàn trả lại 100% phí đào tạo và các khoản chế độ đã được nhận trong thời gian đào tạo.</t>
  </si>
  <si>
    <t>Bồi thường vi phạm vật chất: Theo quy định nội bộ của Công ty và quy định của pháp luật hiện hành;</t>
  </si>
  <si>
    <t>Có trách nhiệm đề xuất các giải pháp nâng cao hiệu quả công việc, giảm thiểu các rủi ro. Khuyến khích các đóng góp này được thực hiện bằng văn bản.</t>
  </si>
  <si>
    <t>Bảo mật các thông tin và tài liệu của Công ty. Việc cung cấp thông tin và tài liệu phải được sự đồng ý của Ban lãnh đạo Công ty.</t>
  </si>
  <si>
    <t>Bảo mật thông tin khách hàng và nhà cung cấp của công ty.</t>
  </si>
  <si>
    <t>1. Nghĩa vụ:</t>
  </si>
  <si>
    <t>Bảo đảm việc làm và thực hiện đầy đủ những điều đã cam kết trong hợp đồng lao động.</t>
  </si>
  <si>
    <t>Thanh toán đầy đủ, đúng thời hạn các chế độ và quyền lợi cho người lao động theo hợp đồng lao động, thỏa ước lao động tập thể (nếu có).</t>
  </si>
  <si>
    <t>2. Quyền hạn:</t>
  </si>
  <si>
    <t>Điều chuyển người lao động sang thử việc, đào tạo tại bộ phận khác.</t>
  </si>
  <si>
    <t>Người sử dụng Lao động không chịu trách nhiệm về hành vi gây thiệt hại đối với bên thứ 3 mà người lao động gây ra.</t>
  </si>
  <si>
    <t>Có quyền đòi bồi thường, khiếu nại với cơ quan liên đới để bảo vệ quyền lợi của mình nếu Người lao động vi phạm Pháp luật hay các điều khoản của HĐLĐ.</t>
  </si>
  <si>
    <t>Kỷ luật người Lao động theo Quy định Công ty và Quy định của Pháp luật.</t>
  </si>
  <si>
    <t>Điều 5: Đơn phương chấm dứt hợp đồng:</t>
  </si>
  <si>
    <t>5.1 Người sử dụng lao động</t>
  </si>
  <si>
    <t>a) Người lao động thường xuyên không hoàn thành công việc theo hợp đồng.</t>
  </si>
  <si>
    <t>b) Người lao động làm theo hợp đồng lao động không xác định thời hạn ốm đau đã điều trị 12 tháng liên, người lao động làm theo hợp đồng lao động xác định thời hạn ốm đau đã điều trị 06 tháng liên và người lao động làm theo hợp đồng lao động dưới 01 năm ốm đau đã điều trị quá nửa thời hạn hợp đồng, mà khả năng lao động chưa hồi phục. Khi sức khoẻ của người lao động bình phục, thì được xem xét để giao kết tiếp hợp đồng lao động.</t>
  </si>
  <si>
    <t>c) Doanh nghiệp, cơ quan, tổ chức chấm dứt hoạt động.</t>
  </si>
  <si>
    <t>d) Người lao động vi phạm kỷ luật mức sa thải.</t>
  </si>
  <si>
    <t>e) Người lao động có hành vi gây thiệt hại nghiêm trọng về tài sản và lợi ích của Công ty.</t>
  </si>
  <si>
    <t>f) Người lao động đang thi hành kỷ luật mức chuyển công tác mà tái phạm.</t>
  </si>
  <si>
    <t>g) Người lao động tự ý bỏ việc 5 ngày/1 tháng và 20 ngày/1 năm.</t>
  </si>
  <si>
    <t>h) Người lao động vi phạm Pháp luật Nhà nước.</t>
  </si>
  <si>
    <t>5.2 Người lao động</t>
  </si>
  <si>
    <t>a) Không được bố trí theo đúng công việc hoặc không được bảo đảm các điều kiện làm việc đã thỏa thuận trong hợp đồng.</t>
  </si>
  <si>
    <t>b) Không được trả công đầy đủ hoặc trả công không đúng thời hạn đã thỏa thuận trong hợp đồng.</t>
  </si>
  <si>
    <t>c) Bị ngược đãi, bị cưỡng bức lao động.</t>
  </si>
  <si>
    <t>d) Bản thân hoặc gia đình thật sự có hoàn cảnh khó khăn không thể tiếp tục thực hiện hợp đồng.</t>
  </si>
  <si>
    <t>e) Được bầu làm nhiệm vụ chuyên trách ở các cơ quan dân cử hoặc được bổ nhiệm giữ chức vụ trong bộ máy Nhà nước.</t>
  </si>
  <si>
    <t>f) Người lao động nữ có thai phải nghỉ việc theo chỉ định của thầy thuốc.</t>
  </si>
  <si>
    <t>g) Người lao động bị ốm đau, tai nạn đã điều trị 03 tháng liên mà khả năng lao động chưa được hồi phục.</t>
  </si>
  <si>
    <t>h) Ngoài những lý do trên người lao động đơn phương chấm dứt hợp đồng phải báo trước ít nhất 45 ngày và phải có thông báo bằng văn bản cho đại diện công ty trước ít nhất 15 ngày.</t>
  </si>
  <si>
    <t>Điều 6: Điều khoản thi hành</t>
  </si>
  <si>
    <t>Những vấn đề về lao động không ghi trong hợp đồng lao động này thì áp dụng quy định các Luật liên quan, bao gồm nhưng không hạn chế ở các Luật: Luật lao động; Luật doanh nghiệp; Điều lệ Công ty; Các Nội quy, quy chế, quy trình của Công ty.</t>
  </si>
  <si>
    <t>Nếu có vấn đề bất cập phát sinh hai bên kịp thời thông báo cho nhau biết và chủ động bàn bạc giải quyết trên cơ sở thương lượng đảm bảo quyền lợi giữa hai bên. Trong trường hợp không giải quyết, thương lượng được thì các bên có quyền khởi kiện để yêu cầu tòa án có thẩm quyền giải quyết theo quy định của pháp luật.</t>
  </si>
  <si>
    <t>Hợp đồng lao động được làm tại Văn Phòng, Công ty TNHH ……………….., gồm 02 bản có giá trị ngang nhau, mỗi bên giữ một bản và có hiệu lực kể từ ngày 01/01/20……………</t>
  </si>
  <si>
    <t>Người lao động</t>
  </si>
  <si>
    <t>Người sử dụng lao động</t>
  </si>
  <si>
    <t>(Ký, ghi rõ họ tên)</t>
  </si>
  <si>
    <t>(Ký tên, đóng dấu)</t>
  </si>
  <si>
    <t>NỘI QUY LAO ĐỘNG</t>
  </si>
  <si>
    <t>(Ban hành theo Quyết định số ……………../QĐ-… ngày ………………….)</t>
  </si>
  <si>
    <t>MỤC LỤC</t>
  </si>
  <si>
    <t>CHƯƠNG I: NHỮNG QUY ĐỊNH CHUNG</t>
  </si>
  <si>
    <t>Điều 1. Định nghĩa</t>
  </si>
  <si>
    <t>Điều 2. Đối tượng áp dụng</t>
  </si>
  <si>
    <t>Điều 3. Áp dụng, sửa đổi và bổ sung</t>
  </si>
  <si>
    <t>Điều 4. Hiệu lực thi hành</t>
  </si>
  <si>
    <t>Điều 5. Giải thích từ ngữ và các từ viết tắt</t>
  </si>
  <si>
    <t>CHƯƠNG II: THỜI GIỜ LÀM VIỆC, THỜI GIAN NGHỈ NGƠI</t>
  </si>
  <si>
    <t>Điều 6. Thời gian làm việc và nghỉ ngơi</t>
  </si>
  <si>
    <t>Điều 7. Nghỉ giữa giờ</t>
  </si>
  <si>
    <t>Điều 8. Ngày nghỉ hưởng lương</t>
  </si>
  <si>
    <t>Điều 9. Nghỉ việc riêng không hưởng lương</t>
  </si>
  <si>
    <t>Điều 10. Quy định khi xin nghỉ</t>
  </si>
  <si>
    <t>Điều 11. Làm thêm giờ, điều động sang các Bộ phận khác</t>
  </si>
  <si>
    <t>Điều 12. Quy định đối với CBNV nữ</t>
  </si>
  <si>
    <t>Điều 13. Quy định về xin nghỉ việc/ chấm dứt HĐLĐ</t>
  </si>
  <si>
    <t>CHƯƠNG III: QUY ĐỊNH VỀ TRANG PHỤC, DIỆN MẠO TẠI NƠI LÀM VIỆC</t>
  </si>
  <si>
    <t>Điều 14. Đồng phục/ trang phục</t>
  </si>
  <si>
    <t>Điều 15. Diện mạo</t>
  </si>
  <si>
    <t>CHƯƠNG IV: TRẬT TỰ TRONG CÔNG TY</t>
  </si>
  <si>
    <t>Điều 16. An ninh, trật tự tại nơi làm việc</t>
  </si>
  <si>
    <t>Điều 17. Chuẩn mực công việc</t>
  </si>
  <si>
    <t>Điều 18. Quy định chấm vân tay, đi muộn/ về sớm</t>
  </si>
  <si>
    <t>CHƯƠNG V: QUY ĐỊNH VỀ MỐI QUAN HỆ NƠI LÀM VIỆC</t>
  </si>
  <si>
    <t>Điều 19. Nguyên tắc giao việc</t>
  </si>
  <si>
    <t>Điều 20. Quy định về việc chấp hành nhiệm vụ công tác và nguyên tắc báo cáo</t>
  </si>
  <si>
    <t>CHƯƠNG VI: QUY ĐỊNH VỀ VĂN HÓA NƠI CÔNG SỞ</t>
  </si>
  <si>
    <t>Điều 21. Khung xương văn hóa ....</t>
  </si>
  <si>
    <t>Điều 22. Văn hóa giao tiếp ứng xử nơi công sở</t>
  </si>
  <si>
    <t>Điều 23. Nghi lễ Công ty</t>
  </si>
  <si>
    <t>Điều 24. Văn hóa làm gương của cấp Quản lý</t>
  </si>
  <si>
    <t>Điều 25. Các quy tắc giao tiếp nơi công sở</t>
  </si>
  <si>
    <t>CHƯƠNG VII: PHÒNG, CHỐNG QUẤY RỐI TÌNH DỤC NƠI LÀM VIỆC</t>
  </si>
  <si>
    <t>Điều 26. Khái niệm quấy rối tình dục nơi công sở</t>
  </si>
  <si>
    <t>Điều 27. Trách nhiệm của Công ty về phòng, chống quấy rối tình dục</t>
  </si>
  <si>
    <t>Điều 28. Quyền và trách nhiệm của CBNV</t>
  </si>
  <si>
    <t>Điều 29. Thời hạn, trình tự, thủ tục và hình thức xử lý nội bộ hành vi quấy rối tình dục</t>
  </si>
  <si>
    <t>Điều 30. Bồi thường thiệt hại cho nạn nhân và các biện pháp khắc phục hậu quả</t>
  </si>
  <si>
    <t>CHƯƠNG VIII: QUY ĐỊNH VỀ BẢO VỆ TÀI SẢN, TRAO ĐỔI VÀ BẢO MẬT THÔNG TIN</t>
  </si>
  <si>
    <t>Điều 31. Tài sản</t>
  </si>
  <si>
    <t>Điều 32. Bí mật công nghệ, bí mật kinh doanh</t>
  </si>
  <si>
    <t>Điều 33. Bí mật thông tin nội bộ</t>
  </si>
  <si>
    <t>Điều 34. Quyền và trách nhiệm của CBNV</t>
  </si>
  <si>
    <t>Điều 35. Trao đổi thông tin qua email</t>
  </si>
  <si>
    <t>Điều 36. Trao đổi thông tin qua điện thoại</t>
  </si>
  <si>
    <t>Điều 37. Quy định về hội, họp</t>
  </si>
  <si>
    <t>Điều 38. Quy định về sử dụng trang thiết bị làm việc</t>
  </si>
  <si>
    <t>CHƯƠNG IX: QUY ĐỊNH VỀ AN TOÀN LAO ĐỘNG, PHÒNG CHỐNG CHÁY NỔ VÀ VỆ SINH LAO ĐỘNG</t>
  </si>
  <si>
    <t>Điều 39. An toàn lao động, phòng chống cháy nổ và tiết kiệm nơi làm việc</t>
  </si>
  <si>
    <t>Điều 40. Vệ sinh lao động</t>
  </si>
  <si>
    <t>CHƯƠNG X: XỬ LÝ KỶ LUẬT LAO ĐỘNG</t>
  </si>
  <si>
    <t>Điều 41. Các hành vi vi phạm kỷ luật</t>
  </si>
  <si>
    <t>Điều 42. Nguyên tắc xử lý vi phạm kỷ luật lao động</t>
  </si>
  <si>
    <t>Điều 43. Các hình thức kỷ luật</t>
  </si>
  <si>
    <t>Điều 44. Các trường hợp kỷ luật bằng hình thức khiển trách (bằng văn bản)</t>
  </si>
  <si>
    <t>Điều 45. Các trường hợp xử lý kỷ luật bằng hình thức kéo dài thời gian nâng lương không quá 06 tháng</t>
  </si>
  <si>
    <t>Điều 46. Các trường hợp xử lý kỷ luật bằng hình thức cách chức</t>
  </si>
  <si>
    <t>Điều 47. Các trường hợp xử lý kỷ luật bằng hình thức sa thải</t>
  </si>
  <si>
    <t>Điều 48. Thẩm quyền xử lý vi phạm kỷ luật lao động</t>
  </si>
  <si>
    <t>Điều 49. Thời hiệu xử lý vi phạm kỷ luật động</t>
  </si>
  <si>
    <t>Điều 50. Trách nhiệm vật chất</t>
  </si>
  <si>
    <t>Điều 51. Giải quyết khiếu nại</t>
  </si>
  <si>
    <t>CHƯƠNG I</t>
  </si>
  <si>
    <t>NHỮNG QUY ĐỊNH CHUNG</t>
  </si>
  <si>
    <t>Nội quy lao động là những quy định về kỷ luật lao động mà người lao động phải thực hiện khi làm việc tại Công ty ...; quy định việc xử lý đối với người lao động có hành vi vi phạm kỷ luật lao động; quy định trách nhiệm vật chất đối với người lao động vi phạm kỷ luật làm thiệt hại tài sản của Công ty.</t>
  </si>
  <si>
    <t>Nội quy lao động áp dụng đối với tất cả mọi người lao động làm việc trong Công ty theo các hình thức và các loại hợp đồng lao động, kể cả người lao động trong thời gian thử việc, học nghề.</t>
  </si>
  <si>
    <t>Mọi nội dung không có trong Nội quy lao động này được thực hiện đúng theo quy định hiện hành của Luật Lao động, Luật Bảo hiểm xã hội và các quy định khác của Nhà nước.</t>
  </si>
  <si>
    <t>Trong trường hợp Luật Lao động, Luật Bảo hiểm xã hội và các quy định khác của Nhà nước có thay đổi mà bản Nội quy lao động chưa chỉnh sửa thì thực hiện theo đúng những quy định đã thay đổi theo Luật.</t>
  </si>
  <si>
    <t>Tùy thuộc vào sự thay đổi chính sách của Công ty và pháp luật lao động, những điều khoản trong nội quy này có thể được sửa đổi, bổ sung tùy từng trường hợp. Công ty sẽ đăng ký những sửa đổi này tại Sở Lao động - Thương binh và Xã hội và thông báo cho tất cả người lao động được biết.</t>
  </si>
  <si>
    <t>Nội quy lao động có hiệu lực thi hành sau 15 ngày kể từ ngày Sở Lao động - Thương binh và Xã hội thành phố Hà Nội nhận đầy đủ hồ sơ đăng ký Nội quy lao động mà không có thông báo sửa đổi, bổ sung.</t>
  </si>
  <si>
    <t>Điều 5. Giải thích từ ngữ</t>
  </si>
  <si>
    <t>Ký hiệu</t>
  </si>
  <si>
    <t>Nội dung</t>
  </si>
  <si>
    <t>Công ty</t>
  </si>
  <si>
    <t>(Sau đây gọi tắt là Công ty)</t>
  </si>
  <si>
    <t>Toàn bộ người lao động đã ký hợp đồng với Công ty và hợp đồng còn hiệu lực.</t>
  </si>
  <si>
    <t>(Sau đây gọi tắt là CBNV)</t>
  </si>
  <si>
    <t>Bộ phận (Sau đây gọi tắt là BP)</t>
  </si>
  <si>
    <t>Được hiểu là các Ban, Phòng, đơn vị trực thuộc Công ty.</t>
  </si>
  <si>
    <t>Người quản lý trực tiếp</t>
  </si>
  <si>
    <t>Là người có quyền trực tiếp giao việc, quản lý, phân công công việc cho CBNV/ Bộ phận theo quy định của Công ty.</t>
  </si>
  <si>
    <t>(Sau đây gọi tắt là QLTT)</t>
  </si>
  <si>
    <t>Nơi làm việc</t>
  </si>
  <si>
    <t>Là địa điểm, không gian mà CBNV phải có mặt để thực hiện nghĩa vụ lao động, theo thoả thuận giữa các bên hoặc theo yêu cầu của Công ty.</t>
  </si>
  <si>
    <t>CHƯƠNG II</t>
  </si>
  <si>
    <t>THỜI GIỜ LÀM VIỆC, THỜI GIAN NGHỈ NGƠI</t>
  </si>
  <si>
    <t>1. Thời gian làm việc bình thường không quá 08 giờ trong 01 ngày và không quá 48 giờ trong 01 tuần.</t>
  </si>
  <si>
    <t>+ Giờ làm việc buổi sáng: 8:00 – 12:00</t>
  </si>
  <si>
    <t>+ Nghỉ trưa: 12:00 – 13:00</t>
  </si>
  <si>
    <t>+ Giờ làm việc buổi chiều: 13:00 – 17:00</t>
  </si>
  <si>
    <t>2. Trong một số hoàn cảnh đặc biệt như thiên tai, hỏa hoạn, địch họa, dịch bệnh,… Công ty có thể thay đổi giờ làm việc tùy theo điều kiện thực tế và Công ty sẽ thông báo tối thiểu trước thời điểm bắt đầu chuyển đổi giờ làm việc 01 ngày làm việc.</t>
  </si>
  <si>
    <t>1. CBNV nữ khi nuôi con nhỏ dưới 12 tháng, trong điều kiện làm việc bình thường thì được nghỉ 60 phút/ ngày tính vào thời gian làm việc.</t>
  </si>
  <si>
    <t>2. Đối với CBNV đang mang thai cho phép nghỉ giữa giờ: Buổi sáng từ 10h00-10h15, buổi chiều từ 15h00-15h15.</t>
  </si>
  <si>
    <t>3. CBNV được nghỉ giải lao: sáng từ 10h00 – 10h10, chiều từ 15h00 – 15h10.</t>
  </si>
  <si>
    <t>Nghỉ Lễ, Tết: CBNV được nghỉ hưởng lương trong các ngày Lễ/ Tết sau:</t>
  </si>
  <si>
    <t>1. Tết Dương lịch: một ngày (vào ngày 01 tháng 01 dương lịch);</t>
  </si>
  <si>
    <t>2. Tết Âm lịch: năm ngày (Hằng năm, căn cứ vào điều kiện thực tế, Thủ tướng Chính phủ quyết định cụ thể ngày nghỉ);</t>
  </si>
  <si>
    <t>3. Ngày Giỗ tổ Hùng Vương: một ngày (vào ngày 10 tháng 3 âm lịch);</t>
  </si>
  <si>
    <t>4. Ngày Chiến thắng: một ngày (vào ngày 30 tháng 4 dương lịch);</t>
  </si>
  <si>
    <t>5. Ngày Quốc tế lao động: một ngày (vào ngày 01 tháng 5 dương lịch);</t>
  </si>
  <si>
    <t>6. Ngày Quốc khánh: hai ngày (vào ngày 02 tháng 9 dương lịch và 01 ngày liền kề trước hoặc sau).</t>
  </si>
  <si>
    <t>7. Nghỉ việc riêng: CBNV nghỉ việc riêng mà vẫn được hưởng lương trong những trường hợp sau:</t>
  </si>
  <si>
    <t>Nghỉ chế độ</t>
  </si>
  <si>
    <t>Số ngày nghỉ</t>
  </si>
  <si>
    <t>Nghỉ cưới bản thân</t>
  </si>
  <si>
    <t>3 ngày</t>
  </si>
  <si>
    <t>Nghỉ Hiếu Cha đẻ, mẹ đẻ, cha nuôi, mẹ nuôi; cha đẻ, mẹ đẻ, cha nuôi, mẹ nuôi của vợ hoặc chồng; vợ hoặc chồng; con đẻ, con nuôi</t>
  </si>
  <si>
    <t>Nghỉ Con đẻ, con nuôi kết hôn</t>
  </si>
  <si>
    <t>1 ngày</t>
  </si>
  <si>
    <t>8. Nghỉ phép năm</t>
  </si>
  <si>
    <t>1. Người lao động ký hợp đồng lao động làm việc đủ 12 tháng trong điều kiện lao đôgnj bình thường được nghỉ 12 ngày làm việc hưởng nguyên lương theo HĐLĐ hằng năm, tương ứng với 01 (một) ngày cho mỗi tháng làm việc.</t>
  </si>
  <si>
    <t>2. Cứ 5 năm làm việc tại Công Ty thì số ngày nghỉ phép năm của Người lao động quy định tại Điều 10.1 được tăng thêm 01 (một) ngày.</t>
  </si>
  <si>
    <t>3. Người lao động được khuyến khích sử dụng hết số ngày nghỉ phép năm trước ngày 31 tháng 12 của năm dương lịch tương ứng. Trường hợp chưa sử dụng hết, những ngày chưa sử dụng của năm hiện tại được chuyển sang năm kế tiếp để tiếp tục sử dụng cho đến hết quý I (31/03) năm sau. Các ngày nghỉ phép năm chưa được sử dụng trước thời hạn quy định sẽ hết hiệu lực và không được quy đổi thành tiền. (Trừ trường hợp quy định khác của Công ty được thông báo trước ngày 31/12).</t>
  </si>
  <si>
    <t>4. Người lao động không được phép sử dụng ngày nghỉ phép năm để tính vào thời hạn gửi thông báo thôi việc trừ khi có sự chấp thuận khác của Công Ty.</t>
  </si>
  <si>
    <t>5. Trường hợp Người lao động do thôi việc, bị mất việc làm hoặc vì các lý do chính đáng khác mà chưa nghỉ phép năm hoặc chưa nghỉ hết số ngày nghỉ phép năm thì được Công Ty thanh toán bằng tiền cho những ngày chưa nghỉ.</t>
  </si>
  <si>
    <t>6. Người lao động làm việc chưa đủ 12 tháng trong năm làm việc đầu tiên tại Công ty hoặc nghỉ việc thì số ngày phép được hưởng sẽ được tính theo tỉ lệ số tháng làm việc.</t>
  </si>
  <si>
    <t>7. Công ty quy định lịch nghỉ hằng năm sau khi tham khảo ý kiến của Người lao động và phải thông báo trước cho Người lao động biết. Người lao động có thể thỏa thuận với người sử dụng lao động để nghỉ hằng năm thành nhiều lần hoặc nghỉ gộp tối đa 03 năm một lần.</t>
  </si>
  <si>
    <t>8. Khi nghỉ hằng năm mà chưa đến kỳ trả lương, Người lao động được tạm ứng tiền lương theo quy định tại khoản 3 Điều 101 của Bộ luật lao động 2019.</t>
  </si>
  <si>
    <t>9. Khi nghỉ hằng năm, nếu Người lao động đi bằng các phương tiện đường bộ, đường sắt, đường thủy mà số ngày đi đường cả đi và về trên 02 ngày thì từ ngày thứ 03 trở đi được tính thêm thời gian đi đường ngoài ngày nghỉ hằng năm và chỉ được tính cho 01 lần nghỉ trong năm.</t>
  </si>
  <si>
    <t>1. CBNV được nghỉ không hưởng lương 01 ngày và phải thông báo với người sử dụng CBNV khi ông nội, bà nội, ông ngoại, bà ngoại, anh, chị, em ruột chết; cha hoặc mẹ kết hôn; anh, chị, em ruột kết hôn.</t>
  </si>
  <si>
    <t>2. CBNV có thể xin nghỉ không hưởng lương trong các trường hợp phát sinh cá nhân bất khả kháng. CBNV muốn nghỉ phải có lý do chính đáng và phải được sự chấp thuận của QLTT.</t>
  </si>
  <si>
    <t>1. Khi CBNV xin nghỉ phải trình Đề nghị nghỉ phép trên phần mềm Quản lý nhân sự đến QLTT phê duyệt.</t>
  </si>
  <si>
    <t>2. Trường hợp nghỉ, vắng mặt đột xuất vì lý do bất khả kháng, CBNV xin phép trước 8h00 bằng hình thức gọi điện hoặc nhắn tin có ghi rõ lý do nghỉ cho QLTT được biết và bổ sung đơn trên phần mềm Quản lý nhân sự chậm nhất là ngay khi trở lại làm việc.</t>
  </si>
  <si>
    <t>3. Quy trình xin nghỉ như sau:</t>
  </si>
  <si>
    <t>a. Bước 1: Đăng ký nghỉ trên phần mềm Quản lý nhân sự</t>
  </si>
  <si>
    <t>- Vào tài khoản cá nhân trên phần mềm Quản lý nhân sự đăng ký thời gian nghỉ phép: Điền đầy đủ thông tin thời gian bắt đầu đến thời gian kết thúc nghỉ phép, người thay thế trong thời gian nghỉ, người liên quan (P.HCNS, các cá nhân liên quan trực tiếp, …) và người duyệt; lý do nghỉ.</t>
  </si>
  <si>
    <t>- Người xin nghỉ phải xác định công việc trong thời gian nghỉ cần xử lý để bàn giao cụ thể cho người nhận bàn giao trước khi làm đề nghị nghỉ trên phần mềm Quản lý nhân sự. QLTT duyệt đơn được hiểu là người nhận bàn giao đã nắm được nội dung bàn giao và có trách nhiệm xử lý trong thời gian người xin nghỉ vắng mặt ở Công ty.</t>
  </si>
  <si>
    <t>- CBNV trước khi nộp đơn trên phải gửi thông báo sms/ zalo/ điện thoại cho QLTT được biết. Thời hạn đăng ký nghỉ trên phần mềm Quản lý nhân sự:</t>
  </si>
  <si>
    <t>o Nghỉ ≤ 1 ngày: Nộp đơn ghi rõ lý do trước tối thiểu 01 ngày nghỉ.</t>
  </si>
  <si>
    <t>o Nghỉ &gt; 1 ngày: Nộp đơn ghi rõ lý do trước tối thiểu 03 ngày nghỉ.</t>
  </si>
  <si>
    <t>b. Bước 2: QLTT duyệt đơn xin nghỉ</t>
  </si>
  <si>
    <t>- Thực hiện duyệt đơn theo phân quyền:</t>
  </si>
  <si>
    <t>Cấp nộp đơn</t>
  </si>
  <si>
    <t>Cấp duyệt</t>
  </si>
  <si>
    <t>Người liên quan</t>
  </si>
  <si>
    <t>Cấp Người lao động</t>
  </si>
  <si>
    <t>QLTT</t>
  </si>
  <si>
    <t>- Người nhận bàn giao: Có trách nhiệm thực hiện công việc của người nghỉ trong thời gian được bàn giao.</t>
  </si>
  <si>
    <t>Ghi rõ:</t>
  </si>
  <si>
    <t>- NV.HCNS phụ trách C&amp;B: Để nắm bắt tình hình nhân sự.</t>
  </si>
  <si>
    <t>- Loại nghỉ: Nghỉ chế độ/ Nghỉ Phép/ Nghỉ không lương.</t>
  </si>
  <si>
    <t>- GĐ: Đối với NV có hạng mục tương tác làm việc trực tiếp với BGĐ (BP Thầu, Đào tạo, Tuyển dụng, các vị trí kế toán,…).</t>
  </si>
  <si>
    <t>- Lý do: Ghi rõ chi tiết khi nộp đơn.</t>
  </si>
  <si>
    <t>Cấp Quản lý</t>
  </si>
  <si>
    <t>GĐ</t>
  </si>
  <si>
    <t>- Đồng thời: Gửi thông báo sms/ zalo/ điện thoại cho QLTT được biết.</t>
  </si>
  <si>
    <t>- TP.HCNS: Để nắm bắt tình hình nhân sự.</t>
  </si>
  <si>
    <t>- Cuối tháng danh sách xin nghỉ phải được ghim cùng bảng chấm công. Nếu CBNV nào không có đơn đăng ký trên phần mềm Quản lý nhân sự hoặc đơn nghỉ sai thông tin hoặc đơn xin nghỉ không được QLTT duyệt được coi là nghỉ không xin phép.</t>
  </si>
  <si>
    <t>1. Trường hợp Công ty có điều động làm thêm giờ theo yêu cầu của công việc, BGĐ/ Trưởng bộ phận/ người được BGĐ ủy quyền có quyền yêu cầu CBNV làm thêm giờ, nhưng không vượt quá 04h/ ngày, 40h/ tháng, 300h/ năm.</t>
  </si>
  <si>
    <t>2. CBNV làm thêm giờ được xác định như sau:</t>
  </si>
  <si>
    <t>a. Do chủ quan chưa hoàn thành công việc được giao phải làm thêm giờ thì không được tính lương làm thêm giờ. Trường hợp này có thể do CBNV đăng ký làm thêm hoặc do BGĐ yêu cầu phải làm thêm để đảm bảo tiến độ công việc như đã đề ra.</t>
  </si>
  <si>
    <t>b. Trường hợp để đảm bảo tiến độ sản xuất, các bộ phận phải tăng cường thời gian làm thêm giờ thì phải đăng ký kế hoạch và được BGĐ thông qua.</t>
  </si>
  <si>
    <t>3. Mức lương và các chế độ phụ cấp làm thêm giờ: CBNV được hưởng theo Quy định chế độ tiền lương hiện hành.</t>
  </si>
  <si>
    <t>4. Trường hợp được tạm thời chuyển người lao động làm việc khác so với hợp đồng lao động:</t>
  </si>
  <si>
    <t>- + Khi doanh nghiệp gặp khó khăn đột xuất do thiên tai, hỏa hoạn, dịch bệnh nguy hiểm cần phải thay đổi các nhu cầu sản xuất - kinh doanh thích ứng với thực tế.</t>
  </si>
  <si>
    <t>- Khi doanh nghiệp đang thực hiện các biện pháp ngăn ngừa, khắc phục tai nạn lao động, bệnh nghề nghiệp, sự cố điện, nước, cần phải điều động CBNV sang bộ phận khác để đảm bảo điều kiện làm việc cho CBNV.</t>
  </si>
  <si>
    <t>- Do nhu cầu sản xuất, kinh doanh thực tế của doanh nghiệp cần điều chuyển để đảm bảo kết quả sản xuất kinh doanh phù hợp với tình hình điều kiện thực tế tại doanh nghiệp.</t>
  </si>
  <si>
    <t>- Người sử dụng lao động được quyền tạm thời chuyển người lao động làm công việc khác so với hợp đồng lao động nhưng không được quá 60 ngày làm việc cộng dồn trong 01 năm; trường hợp chuyển người lao động làm công việc khác so với hợp đồng lao động quá 60 ngày làm việc cộng dồn trong 01 năm thì chỉ được thực hiện khi người lao động đồng ý bằng văn bản.</t>
  </si>
  <si>
    <t>1. CBNV nữ làm công việc nặng nhọc, độc hại khi mang thai từ tháng thứ 07, được chuyển làm công việc nhẹ hơn hoặc được giảm bớt 01 giờ làm việc hàng ngày mà vẫn hưởng đủ thu nhập.</t>
  </si>
  <si>
    <t>2. CBNV nữ hưởng chế độ thai sản (sinh con, sảy thai, nuôi con nhỏ) sẽ căn cứ vào luật BHXH. CBNV có trách nhiệm chuyển các giấy tờ liên quan về P.HCNS để làm việc với cơ quan BHXH (Chỉ áp dụng đối với trường hợp đóng BHXH tại công ty).</t>
  </si>
  <si>
    <t>3. Khi nộp đơn xin nghỉ thai sản, CBNV phải đính kèm các giấy xác nhận của Bệnh viện. Hết thời gian nghỉ thai sản quy định, nếu có nhu cầu, CBNV nữ có thể nghỉ thêm một thời gian không hưởng lương theo thỏa thuận với người sử dụng CBNV. CBNV nữ có thể đi làm việc trước khi hết thời gian thai sản, và phải có giấy của Bác sĩ chứng nhận việc trở lại làm sớm không ảnh hưởng đến sức khỏe và phải báo cho người sử dụng CBNV biết trước.</t>
  </si>
  <si>
    <t>4. Đối với CBNV nữ đang nuôi con dưới 12 tháng tuổi hoặc có thai từ tháng thứ 7 trở đi không phải làm thêm giờ, đi công tác xa hay làm đêm. CBNV nữ nuôi con dưới 12 tháng tuổi, được nghỉ mỗi ngày 60 phút trong thời gian làm việc mà vẫn hưởng đủ thu nhập.</t>
  </si>
  <si>
    <t>5. Công ty bảo đảm chỗ làm việc cho CBNV sau khi kết thúc thời gian nghỉ sinh nếu trước đó vẫn giữ đúng các điều khỏan trong HĐLĐ và tuân thủ đúng nội quy Công ty.</t>
  </si>
  <si>
    <t>6. Trong các trường hợp nêu tại mục (1), (2), (3) và (4) nêu trên, CBNV phải đăng ký với P.HCNS về việc bố trí giờ nghỉ này (bắt đầu làm việc muộn, tăng thời gian nghỉ trưa hoặc nghỉ sớm).</t>
  </si>
  <si>
    <t>1. Trường hợp nghỉ việc của CBNV thử việc</t>
  </si>
  <si>
    <t>CBNV trong thời gian thử việc xin nghỉ phải báo trước tối thiểu 03 ngày bằng văn bản có chữ ký đồng ý của QLTT gửi về P.HCNS.</t>
  </si>
  <si>
    <t>2. Trường hợp nghỉ việc của CBNV làm việc chính thức</t>
  </si>
  <si>
    <t>a. Khi có kế hoạch xin nghỉ việc hoặc khi chuẩn bị kết thúc hợp đồng, CBNV phải có đơn xin nghỉ bằng văn bản có chữ ký đồng ý của QLTT và P.HCNS gửi BGĐ trước tối thiểu 30 ngày đối với HĐLĐ xác định thời hạn và 45 ngày đối với HĐLĐ không xác định thời hạn hoặc tùy từng vị trí có sự thỏa thuận riêng đã thể hiện trên HĐLĐ. BGĐ căn cứ vào tình hình nhân sự của Công ty để duyệt đơn xin nghỉ của CBNV.</t>
  </si>
  <si>
    <t>b. CBNV xin nghỉ việc phải làm thủ tục bàn giao toàn bộ công việc, giấy tờ, sổ sách liên quan, trang thiết bị, công cụ dụng cụ làm việc, thực hiện đầy đủ thủ tục thanh quyết toán tài chính (nếu có)… cho QLTT, P.KTTC và P.HCNS.</t>
  </si>
  <si>
    <t>c. Trong 30 ngày kể từ ngày hoàn tất công việc bàn giao, CBNV nghỉ việc vẫn phải có trách nhiệm đến giải trình hoặc hỗ trợ CBNV trong Công ty các số liệu hoặc công việc liên quan trước đây đã đảm nhiệm.</t>
  </si>
  <si>
    <t>d. CBNV nghỉ việc không thực hiện đầy đủ những mục nêu trên được coi là nghỉ việc trái pháp luật.</t>
  </si>
  <si>
    <t>CHƯƠNG III</t>
  </si>
  <si>
    <t>QUY ĐỊNH VỀ TRANG PHỤC, DIỆN MẠO TẠI NƠI LÀM VIỆC</t>
  </si>
  <si>
    <t>1. Danh mục</t>
  </si>
  <si>
    <t>Đối tượng – tình huống sử dụng trang phục</t>
  </si>
  <si>
    <t>Triển khai thực hiện</t>
  </si>
  <si>
    <t>BGĐ làm việc tại Văn phòng</t>
  </si>
  <si>
    <t>Nam:</t>
  </si>
  <si>
    <t>- Quần âu.</t>
  </si>
  <si>
    <t>- Sơ mi/ áo phông có cổ.</t>
  </si>
  <si>
    <t>- Đi giầy/ dép có quai.</t>
  </si>
  <si>
    <t>Nữ:</t>
  </si>
  <si>
    <t>- Quần âu/ Chân váy (cao trên gối không quá 3cm).</t>
  </si>
  <si>
    <t>- Sơ mi/ áo phông (có tay, cổ không khoét sâu).</t>
  </si>
  <si>
    <t>- Váy liền thân (qua đầu gối, có tay, cổ không khoét sâu).</t>
  </si>
  <si>
    <t>- Đi giày/ dép có quai.</t>
  </si>
  <si>
    <t>BGĐ gặp gỡ đối tác</t>
  </si>
  <si>
    <t>- Sơ mi.</t>
  </si>
  <si>
    <t>- Giầy tây (không đi giày thể thao).</t>
  </si>
  <si>
    <t>- Sơ mi (có tay, cổ không khoét sâu).</t>
  </si>
  <si>
    <t>Ban Trợ lý làm việc tại Văn phòng</t>
  </si>
  <si>
    <t>Ban Trợ lý gặp gỡ đối tác, tháp tùng BGĐ đi giao dịch</t>
  </si>
  <si>
    <t>- Sơ mi/ áo phông/ váy liền thân có tay, cổ không khoét sâu.</t>
  </si>
  <si>
    <t>CBNV làm việc tại Văn phòng</t>
  </si>
  <si>
    <t>- Quần âu/ Quần jean.</t>
  </si>
  <si>
    <t>- Sơ mi/ áo phông có tay.</t>
  </si>
  <si>
    <t>CBNV tham gia hỗ trợ khai trương cửa hàng</t>
  </si>
  <si>
    <t>- Đi giày.</t>
  </si>
  <si>
    <t>- Hoặc mặc đồng phục của Công ty.</t>
  </si>
  <si>
    <t>CBNV tham gia hỗ trợ trực cửa hàng khi cửa hàng thiếu nhân sự</t>
  </si>
  <si>
    <t>Trang phục như khi làm việc tại Văn phòng.</t>
  </si>
  <si>
    <t>CBNV làm việc với đối tác/ cơ quan chức năng</t>
  </si>
  <si>
    <t>Trang phục theo đồng phục từng phòng ban hoặc theo đối tượng gặp mặt; theo ngành nghề/ lĩnh vực làm việc:</t>
  </si>
  <si>
    <t>CBNV tham gia hoạt động team-building</t>
  </si>
  <si>
    <t>Trang phục theo đồng phục từng phòng ban hoặc cả công ty theo chủ đề:</t>
  </si>
  <si>
    <t>- Áo polo/ Tshirt có tay.</t>
  </si>
  <si>
    <t>- Quần jean/ quần sooc.</t>
  </si>
  <si>
    <t>- Giầy thể thao/ dép.</t>
  </si>
  <si>
    <t>- Hoặc đồng phục của Công ty.</t>
  </si>
  <si>
    <t>CBNV tham gia chương trình event văn hóa nội bộ</t>
  </si>
  <si>
    <t>Tùy vào từng event văn hóa nội bộ có quy định trang phục riêng theo chủ đề.</t>
  </si>
  <si>
    <t>Sự kiện Year End Party:</t>
  </si>
  <si>
    <t>- Nam trang phục vest (khuyến khích có cà vạt).</t>
  </si>
  <si>
    <t>- Nữ đầm tiệc.</t>
  </si>
  <si>
    <t>2. Đối với các vị trí/ Bộ phận được trang bị đồng phục: CBNV tuân thủ quy định mặc đồng phục theo mẫu quy định tại từng vị trí/ Bộ phận đặc thù.</t>
  </si>
  <si>
    <t>a. Quần áo: Được là phẳng, không sờn, không rách, không dính bẩn. Đối với trang phục mùa đông: ngoài quy định về trang phục như mùa hè, CBNV mặc thêm vest/ áo khoác dáng dài/ áo len,…;</t>
  </si>
  <si>
    <t>b. Giầy dép: Tuân thủ quy định về màu sắc, kiểu dáng và chiều cao theo quy định của từng Bộ phận.</t>
  </si>
  <si>
    <t>c. Bảng tên/ thẻ đeo/ huy hiệu: Phải đeo ngay ngắn đúng quy định và đảm bảo nhìn rõ chữ, đúng thông tin CBNV.</t>
  </si>
  <si>
    <t>3. Đối với các Bộ phận không được trang bị đồng phục: Trang phục làm việc của CBNV phải đảm bảo gọn gàng, lịch sự.</t>
  </si>
  <si>
    <t>4. CBNV thường xuyên tự kiểm tra, chỉnh trang trang phục trong quá trình làm việc. Có trách nhiệm giữ gìn trang phục sạch sẽ, tươm tất để giữ uy tín và hình ảnh cho Công ty.</t>
  </si>
  <si>
    <t>5. CBNV nữ mang thai sử dụng trang phục bầu phù hợp với môi trường công sở hoặc đồng phục riêng (nếu có).</t>
  </si>
  <si>
    <t>6. Đối với CBNV thuộc Bộ phận Kinh doanh luôn đảm bảo diện mạo trang nhã, lịch sự khi tiếp xúc với khách hàng.</t>
  </si>
  <si>
    <t>7. Khuyến khích các CBNV nam thắt cà vạt khi gặp gỡ đối tác, ký kết, giao dịch, đối ngoại.</t>
  </si>
  <si>
    <t>1. Đầu tóc: Gọn gàng; không nhuộm màu sặc sỡ; không được tạo các kiểu tóc thời trang gây phản cảm.</t>
  </si>
  <si>
    <t>2. Trang phục: Phù hợp với form dáng, hoàn cảnh và môi trường làm việc</t>
  </si>
  <si>
    <t>3. Luôn có ý thức giữ gìn vệ sinh cá nhân, móng tay luôn cắt tỉa sạch sẽ.</t>
  </si>
  <si>
    <t>4. Với CBNV nữ: Trang điểm nhẹ nhàng tươi tắn, nét mặt luôn rạng rỡ đầy sức sống.</t>
  </si>
  <si>
    <t>CHƯƠNG IV</t>
  </si>
  <si>
    <t>TRẬT TỰ TRONG CÔNG TY</t>
  </si>
  <si>
    <t>1. Đối với CBNV</t>
  </si>
  <si>
    <t>a. CBNV phải chấp hành nghiêm chỉnh quy định về thời giờ làm việc và thời gian nghỉ ngơi của Công ty. Phải tuân theo sự điều hành của QLTT và BGĐ Công ty. Có mặt tại nơi làm việc đúng giờ, không được phép nghỉ trước khi hết giờ làm việc hoặc rời khỏi nơi làm việc nếu không được sự đồng ý của QLTT. QLTT chịu trách nhiệm trước BGĐ Công ty về việc điều động CBNV hoặc đồng ý cho đi muộn, cho nghỉ sớm và vắng mặt của CBNV.</t>
  </si>
  <si>
    <t>b. CBNV đến làm việc, không được trong tình trạng say rượu, bia. Nghiêm cấm uống rượu, bia tại Công ty, trừ hợp tiếp khách, liên hoan Công ty theo chương trình đã được phê duyệt hoặc được sự cho phép của BGĐ Công ty.</t>
  </si>
  <si>
    <t>c. Không được mang chất độc, các loại hung khí, các chất dễ gây cháy, nổ và các chất gây nghiện vào Công ty. Không được thực hiện các hành vi gây nguy hiểm cho sức khỏe hoặc đe dọa người khác làm ảnh hưởng đến công việc. Người nào vi phạm xét theo mức độ sẽ bị xử lý, trường hợp vi phạm nghiêm trọng sẽ bị xử lý theo Pháp luật Việt Nam;</t>
  </si>
  <si>
    <t>d. CBNV không xem phim, nghe nhạc, đeo tai nghe trong giờ làm việc. Không ăn trong giờ làm việc.</t>
  </si>
  <si>
    <t>2. Đối với khách đến Công ty</t>
  </si>
  <si>
    <t>a. Khách đến làm việc phải có lịch hẹn trước, được CBNV lễ tân hướng dẫn vào khu vực tiếp khách, phục vụ nước uống. Sau đó, thông báo cho các cá nhân, Bộ phận có liên quan đến làm việc.</t>
  </si>
  <si>
    <t>b. CBNV đã nghỉ việc tại Công ty khi đến liên hệ làm việc được xem là khách đến làm việc, thực hiện theo quy định mục a khoản này.</t>
  </si>
  <si>
    <t>1. CBNV có nghĩa vụ tuân thủ Nội quy lao động, các quy định, nội quy khác của Công ty và Pháp luật của Nhà nước.</t>
  </si>
  <si>
    <t>2. Nhiệm vụ và trách nhiệm của mỗi CBNV được xác định rõ trong Bảng mô tả công việc cho từng vị trí. CBNV cần phải hoàn thành các công việc theo yêu cầu và đạt được tiêu chuẩn tương ứng với vị trí của mình và tuân thủ những nguyên tắc làm việc cơ bản sau:</t>
  </si>
  <si>
    <t>a. Tích cực đóng góp ý kiến xây dựng hệ thống quy định của Công ty, kịp thời đề xuất điều chỉnh các điểm chưa hợp lý hoặc không còn phù hợp.</t>
  </si>
  <si>
    <t>b. Đề cao tinh thần trách nhiệm, làm việc tận tâm; không chậm trễ, không trì hoãn, không né tránh hay đùn đẩy trách nhiệm. Luôn luôn cố gắng hoàn thành tốt công việc của mình.</t>
  </si>
  <si>
    <t>c. Không phát ngôn những vấn đề chưa rõ ràng và không thuộc phạm vi công việc của mình. Khi gặp các vấn đề phát sinh nằm ngoài phạm vi công việc của mình hoặc bản thân chưa đủ thông tin để xử lý cần ghi nhận lại đầy đủ thông tin và tìm gặp bộ phận chuyên trách hoặc người được BGĐ uỷ quyền để được xử lý.</t>
  </si>
  <si>
    <t>d. Nghiêm túc chấp hành các chỉ đạo đúng thẩm quyền của cấp trên; chủ động, khẩn trương triển khai và hoàn thành tốt, đúng hạn các công việc được giao cũng như các công việc thuộc phạm vi trách nhiệm của mình.</t>
  </si>
  <si>
    <t>e. Lịch sự, tôn trọng khách hàng và phải có thái độ vui vẻ, hòa nhã đối với khách hàng.</t>
  </si>
  <si>
    <t>f. BGĐ Công ty và tất cả CBNV phải có thái độ tôn trọng lẫn nhau, hòa đồng và hợp tác giải quyết các công việc vì mục tiêu chung của Công ty.</t>
  </si>
  <si>
    <t>g. Hợp tác, chia sẻ với tất cả đồng nghiệp để hoàn thành tốt công việc được giao.</t>
  </si>
  <si>
    <t>h. Phấn đấu để đạt hiệu quả, năng suất lao động tối ưu.</t>
  </si>
  <si>
    <t>i. Tiết kiệm chi phí và có ý thức bảo vệ tài sản Công ty.</t>
  </si>
  <si>
    <t>3. CBNV không được phép ép buộc, xúi giục hoặc kích động người khác vi phạm Nội quy lao động Công ty hoặc không tuân theo chỉ dẫn của người quản lý cấp trên.</t>
  </si>
  <si>
    <t>4. CBNV không được phép đòi hỏi hoặc nhận hối lộ hoặc hoa hồng dưới bất kỳ hình thức nào, dù là bằng tiền, quà tặng,… Trừ trường hợp đặc biệt và được sự cho phép của BGĐ Công ty.</t>
  </si>
  <si>
    <t>5. CBNV không được phép tham gia vào bất kỳ hoạt động nào đi ngược lại quyền lợi và văn hóa của Công ty.</t>
  </si>
  <si>
    <t>6. Giữ bí mật cho khách hàng trong trường hợp cần thiết hoặc khi được yêu cầu.</t>
  </si>
  <si>
    <t>1. Quy định chấm vân tay</t>
  </si>
  <si>
    <t>a. Thời gian chấm vân tay</t>
  </si>
  <si>
    <t>- Chấm vân tay 02 lần bắt đầu giờ làm việc/ ca làm việc trở về trước và từ giờ kết thúc làm việc/ ca làm việc trở về sau.</t>
  </si>
  <si>
    <t>- Với CBNV đi sang cơ sở khác làm việc, phải chấm công thêm tại cơ sở đó khi đến và khi về.</t>
  </si>
  <si>
    <t>b. Quy định chấm vân tay</t>
  </si>
  <si>
    <t>- CBNV đến Công ty phải thực hiện quy định chấm công bằng vân tay. Có thể chấp nhận không chấm công khi CBNV có lịch đi công tác, đi giao dịch hoặc đi thị trường mà không về kịp nhưng phải báo cáo cho QLTT nắm được lịch làm việc của BP, nếu không báo coi như CBNV không chấm vân tay. Trường hợp đến muộn hoặc về sớm để giải quyết công việc của Công ty thì khi đến/ rời Công ty vẫn chấm công như bình thường và đăng ký đơn đi muộn/ về sớm trên phần mềm Quản lý nhân sự. Các Quản lý/ BGĐ khi đi công tác có trách nhiệm báo P.HCNS để các BP liên quan biết lịch làm việc. Nếu không báo lịch coi như không được tính công những ngày đi công tác đó.</t>
  </si>
  <si>
    <t>2. Quy định đi muộn/ về sớm</t>
  </si>
  <si>
    <t>- Tất cả CBNV phải nghiêm chỉnh chấp hành giờ giấc quy định đặc thù, không đi muộn/ về sớm. Trường hợp bất khả kháng phát sinh đi muộn/ về sớm phải có lý do chính đáng và báo cáo QLTT kịp thời nắm được. CBNV thực hiện làm đơn đi muộn/ về sớm trên phần mềm Quản lý nhân sự đúng quy định.</t>
  </si>
  <si>
    <t>- CBNV xin đến muộn/ về sớm chỉ được phép tối đa 01 lần/ tháng và không quá 01 tiếng. Nếu quá 01 tiếng hoặc đi muộn/ về sớm từ lần thứ 2 trong tháng bắt đầu tính trừ vào ngày công.</t>
  </si>
  <si>
    <t>- CBNV xin đi muộn/ về sớm phải thông báo với QLTT trước giờ đi muộn/ về sớm (nhắn tin hoặc gọi điện), trừ trường hợp bất khả kháng như ốm nhập viện hoặc không thể liên lạc được hoặc gia đình có việc khẩn cấp ưu tiên xử lý sẽ được chấp nhận lý do để báo cáo sau giờ xin đi muộn/ về sớm.</t>
  </si>
  <si>
    <t>- Các trường hợp sau 8h30 mới báo QLTT xin đi muộn mà không có lý do bất khả kháng giải trình chính đáng sẽ được coi là không xin phép, thực hiện trừ ngày công và thi đua theo quy định.</t>
  </si>
  <si>
    <t>- Toàn bộ ngày công phát sinh đi làm muộn sau 8h05 mà không có xin phép trên phần mềm Quản lý nhân sự sẽ giảm trừ ngày công, làm tròn 30 phút lũy tiến.</t>
  </si>
  <si>
    <t>CHƯƠNG V</t>
  </si>
  <si>
    <t>QUY ĐỊNH VỀ MỐI QUAN HỆ NƠI LÀM VIỆC</t>
  </si>
  <si>
    <t>1. CBNV phải nghiêm chỉnh chấp hành sự quản lý điều hành của BGĐ Công ty, QLTT Bộ phận hoặc người được BGĐ ủy quyền.</t>
  </si>
  <si>
    <t>2. Các Bộ phận khi được giao việc, QLTT cao nhất của Bộ phận đó phải có trách nhiệm triển khai xử lý hoặc phân công công việc cho cấp dưới triển khai thực hiện đảm bảo công bằng, phù hợp với năng lực và sở trường của CBNV và đáp ứng kết quả theo yêu cầu công việc về chất lượng, thời hạn.</t>
  </si>
  <si>
    <t>3. Khi QLTT các Bộ phận cần sự phối hợp công việc với các Bộ phận khác thì phải gửi đề nghị phối hợp công việc tới QLTT trực tiếp của Bộ phận đó. Không được gửi trực tiếp đề nghị đến CBNV của Bộ phận khác để tránh chồng chéo công việc gây khó khăn cho CBNV thực hiện.</t>
  </si>
  <si>
    <t>4. Các CBNV có quyền từ chối nhận đề nghị công việc từ các Bộ phận khác khi chưa thông qua QLTT. Trong trường hợp CBNV nhận được yêu cầu công việc trực tiếp từ BGĐ của Công ty thì CBNV phải thực hiện công việc theo yêu cầu, đồng thời báo cáo ngay cho QLTT để nắm thông tin.</t>
  </si>
  <si>
    <t>5. Người giao việc phải có yêu cầu cụ thể về nội dung/ thông tin dữ liệu cần thiết và thời hạn trả lời/ hoàn thành cho người được giao việc thực hiện. Trong trường hợp thời hạn hoàn thành không khả thi thì người được giao việc phải chủ động đề xuất thời hạn khác và giải trình rõ lý do để xin phê duyệt điều chỉnh nhiệm vụ. Trường hợp nội dung/ thông tin dữ liệu chưa đầy đủ hoặc chưa rõ ràng thì người được giao việc phải yêu cầu người giao việc cung cấp thêm thông tin trước khi thực hiện nhiệm vụ.</t>
  </si>
  <si>
    <t>1. Khi có vấn đề vượt ngoài phạm vi thẩm quyền của mình, CBNV cần báo cáo ngay cho QLTT hoặc khi gặp vấn đề không giải quyết được, CBNV phải cảnh báo rủi ro cho QLTT trước thời hạn phải trả lời/ hoàn thành để được trợ giúp giải pháp, không để quá thời hạn mới báo cáo hoặc để sự việc tồn đọng quá lâu mà không được giải quyết.</t>
  </si>
  <si>
    <t>2. CBNV được quyền không chấp hành mệnh lệnh của QLTT nếu CBNV được yêu cầu thực hiện những công việc có nguy cơ gây ra tai nạn CBNV (như hỏng tài sản của Công ty, của Nhà nước..) hoặc trái với các quy định Pháp luật, quy định của Công ty. Trong các trường hợp như vậy, nếu không thực hiện mệnh lệnh của QLTT, CBNV được xác định là không vi phạm Nội quy và các quy định khác của Công ty.</t>
  </si>
  <si>
    <t>3. CBNV trong Công ty đều phải có trách nhiệm nộp báo cáo công việc và kế hoạch công việc ngày/ tuần/ tháng theo quy định trong Bản mô tả công việc của từng vị trí của Công ty hoặc theo yêu cầu của QLTT trong từng giai đoạn/ thời điểm cần thiết.</t>
  </si>
  <si>
    <t>4. Báo cáo ngay cho QLTT sau khi hoàn thành nhiệm vụ được giao.</t>
  </si>
  <si>
    <t>5. Báo cáo ngay cho QLTT khi phát sinh sự việc làm ảnh hưởng đến tiến độ hoặc chất lượng hoàn thành nhiệm vụ được giao, các sự cố bất thường, các sai phạm của CBNV hoặc các điểm bất cập trong các hoạt động của Công ty để kịp thời xử lý.</t>
  </si>
  <si>
    <t>6. Báo cáo khẩn cho BGĐ (cấp cao nhất là Giám đốc điều hành), đồng thời báo cho TP.HCNS khi xảy ra các sự việc nghiêm trọng ngoài khả năng xử lý như:</t>
  </si>
  <si>
    <t>a. Hỏa hoạn, thiên tai, dịch bệnh, địch họa nghiêm trọng.</t>
  </si>
  <si>
    <t>b. Tai nạn lao động.</t>
  </si>
  <si>
    <t>c. Các hành vi trộm cắp, phá hoại cơ sở vật chất/ tài sản, vi phạm Pháp luật nghiêm trọng xảy ra trong các khu vực thuộc Công ty.</t>
  </si>
  <si>
    <t>d. Sự cố lớn về dịch vụ hoặc các thông tin có nguy cơ khủng hoảng truyền thông gây ảnh hưởng đến uy tín của Công ty.</t>
  </si>
  <si>
    <t>e. Hư hỏng lớn của hệ thống trang thiết bị, máy móc kỹ thuật làm ảnh hưởng đến hoạt động của Công ty.</t>
  </si>
  <si>
    <t>7. Ngoại trừ những công việc khẩn như đã nêu tại mục 6, các báo cáo phải theo trình tự từ cấp dưới lên cấp trên hoặc theo đúng chuyên môn, chuyên ngành với các Bộ phận có liên quan. Khi QLTT hoặc các Bộ phận liên quan không phản hồi quá 05 ngày kể từ ngày gửi yêu cầu thì CBNV báo cáo với cấp quản lý cao hơn. Khi báo cáo vượt cấp, CBNV phải gửi song song cho QLTT được biết.</t>
  </si>
  <si>
    <t>CHƯƠNG VI</t>
  </si>
  <si>
    <t>QUY ĐỊNH VỀ VĂN HÓA NƠI CÔNG SỞ</t>
  </si>
  <si>
    <t>Điều 21. Khung xương văn hoá Công ty</t>
  </si>
  <si>
    <t>1. Slogan: ……. (nếu có thì Công ty bổ sung)</t>
  </si>
  <si>
    <t>2. Tầm nhìn: Trở thành Công ty dịch vụ vận tải hàng đầu Việt Nam. Lấy sự hài lòng, tự hào của khách hàng làm động lực để thương hiệu Việt vươn tầm quốc tế.</t>
  </si>
  <si>
    <t>3. Sứ mệnh</t>
  </si>
  <si>
    <t>Luôn lấy khách hàng là trọng tâm với mục tiêu xây dựng Công ty.</t>
  </si>
  <si>
    <t>4. Giá trị cốt lõi</t>
  </si>
  <si>
    <t>a. Tâm: Lấy khách hàng là trung tâm, hiểu được nhu cầu của khách hàng để hướng tới dịch vụ tốt nhất.</t>
  </si>
  <si>
    <t>b. Tầm: Tư duy nhạy bén, tầm nhìn chiến lược, xây dựng văn hoá doanh nghiệp chuẩn mực hướng đến những giá trị cao cả cho tập thể và xã hội.</t>
  </si>
  <si>
    <t>c. Tài: CBNV luôn nỗ lực học tập để trang bị kiến thức, không ngừng hoàn thiện bản thân nâng tầm trí tuệ, đi trước đón đầu.</t>
  </si>
  <si>
    <t>d. Tạo: Không ngừng sáng tạo để khác biệt, để hiện đại và phong cách.</t>
  </si>
  <si>
    <t>e. Tín: Phát triển doanh nghiệp dựa trên nguyên tắc chữ tín đặt lên hàng đầu.</t>
  </si>
  <si>
    <t>f. Trung: Một tập thể trung kiên đồng lòng vượt qua mọi khó khăn, chinh phục đỉnh vinh quang.</t>
  </si>
  <si>
    <t>Điều 22. Văn hoá giao tiếp ứng xử nơi công sở</t>
  </si>
  <si>
    <t>1. Cốt lõi của lịch sự: Quy tắc 10 điểm trong văn hoá giao tiếp</t>
  </si>
  <si>
    <t>a. Chiến binh phụng sự bằng cả trái tim: Dùng trí tuệ, năng lực, sức khoẻ phục vụ hết lòng bằng tinh thần hăng hái, say mê và nhiệt thành nhất.</t>
  </si>
  <si>
    <t>b. Nhiệt tình: Là thể hiện sự sẵn sàng, hứng thú trong giao tiếp.</t>
  </si>
  <si>
    <t>c. Trách nhiệm: Là sự ý thức với những thông tin khi giao tiếp. Luôn chủ động, dám làm và dám nhận, không đổ lỗi và đùn đẩy cho bất kỳ ai.</t>
  </si>
  <si>
    <t>d. Nhất quán: Là sự thống nhất từ đầu đến cuối, trước sau không mâu thuẫn giữa lời nói và hành động.</t>
  </si>
  <si>
    <t>e. Tôn trọng: Là sự thể hiện đúng mực, coi trọng danh dự, nhân phẩm, lợi ích của người khác.</t>
  </si>
  <si>
    <t>f. Chân thành: Luôn thành tâm đối xử tốt với người khác, sử dụng ngôn từ chuẩn mực, không vụ lợi, không tính toán.</t>
  </si>
  <si>
    <t>g. Tích cực: Suy nghĩ lạc quan, luôn tìm kiếm giải pháp, mong đợi kết quả tốt đẹp và thành công. Thể hiện cảm xúc, khuôn mặt tươi sáng, rạng rỡ, tràn đầy năng lượng khi giao tiếp.</t>
  </si>
  <si>
    <t>h. Tin tưởng: Là nền tảng giao tiếp đến từ niềm tin, sự hiểu biết và tín nhiệm. Sự tin tưởng không chỉ dành cho người khác mà còn là tin vào chính mình.</t>
  </si>
  <si>
    <t>i. Hợp tác: Thể hiện thái độ cộng tác, chia sẻ, hỗ trợ lẫn nhau, đảm bảo lợi ích cân bằng của cả hai bên trong giao tiếp.</t>
  </si>
  <si>
    <t>j. Kỷ luật: Là sự tuân thủ trong suy nghĩ và thực hiện hành động với sự tự do trong khuôn khổ.</t>
  </si>
  <si>
    <t>2. Kỹ năng giao tiếp nơi công sở</t>
  </si>
  <si>
    <t>a. Kỹ năng lắng nghe: Lắng nghe trong môi trường công sở và văn phòng làm việc rất quan trọng, nếu không biết cách lắng nghe và tiếp nhận thông tin từ người khác, bạn có thể gây ra những hậu quả xấu ảnh hưởng đến bản thân, công việc và những người xung quanh.</t>
  </si>
  <si>
    <t>- Lắng nghe không có nghĩa là im lặng, vô cảm, đồng thời với việc lắng nghe là phải đáp lại, bằng lời nói hoặc thái độ chia sẻ, đồng cảm…đó cũng là cách bạn thể hiện sự tôn trọng người nói và hứng thú với câu chuyện, lời nói họ chia sẻ.</t>
  </si>
  <si>
    <t>- Lắng nghe phải kết hợp với kỹ năng quan sát, kết hợp mọi giác quan để đạt hiệu quả trong giao tiếp.</t>
  </si>
  <si>
    <t>o Tai: Hãy chắc chắn không bỏ qua bất kỳ phần nào của câu chuyện đang được người nói chia sẻ, chủ động, chú ý lắng nghe cẩn thận, bạn mới hiểu được toàn bộ nội dung câu chuyện và tìm ra được lời khuyên hoặc cách giải quyết vấn đề.</t>
  </si>
  <si>
    <t>o Mắt: Hãy quan sát ngôn ngữ cơ thể của người nói như: Nét mặt, cử chỉ, dáng điệu, tốc độ thở, tình trạng đổ mồ hôi….nhấn nhá câu chuyện bằng cách nhìn thẳng vào mắt người nói chứ không lảng tránh ánh mắt của họ hoặc nhìn đi chỗ khác.</t>
  </si>
  <si>
    <t>o Miệng: Đặt những câu hỏi đúng (tránh những thắc mắc vô duyên), có khả năng thúc đẩy, phát triển câu chuyện, tạo hứng khởi cho người nói…tạo ra cuộc đối thoại hai chiều sẽ khiến giao tiếp trở lên sinh động hơn.</t>
  </si>
  <si>
    <t>o Hướng của cơ thể: Luôn hướng về phía người nói với vòng tay rộng mở đại diện cho sự đón nhận thông tin.</t>
  </si>
  <si>
    <t>- Kiên nhẫn đóng vai trò rất quan trọng trong kỹ năng lắng nghe, cần phải kiên trì nghe hết câu chuyện của người nói, từ đó hiểu câu chuyện hơn, cuộc giao tiếp cũng sẽ thành công hơn.</t>
  </si>
  <si>
    <t>- Tạo không gian thoả mái: Loại bỏ mọi thứ gây phiền nhiễu: điện thoại, laptop…để tập trung chú ý vào người nói và thiết lập giao tiếp bằng mắt. Ngoài ra, bạn cần tạo ra một môi trường an toàn, giúp người nói tự do bày tỏ một cách cởi mở.</t>
  </si>
  <si>
    <t>- Hãy đảm bảo yếu tố bí mật, người nói phải rất tin tưởng mới chia sẻ câu chuyện với bạn và họ không mong muốn câu chuyện cá nhân của mình trở thành chủ đề bàn tán trong Công ty. Nếu tiết lộ bí mật, bạn sẽ trở thành người bị cô lập.</t>
  </si>
  <si>
    <t>b. Kỹ năng nói: Lời nói cũng là một bộ phận quan trọng cấu thành nên Văn hoá doanh nghiệp:</t>
  </si>
  <si>
    <t>- Lời nói phải đảm bảo tính chính xác, tránh đưa ra những tin đồn nhảm, thất thiệt, mơ hồ hoặc không có thực.</t>
  </si>
  <si>
    <t>- Lời nói cần nhất quán, thể hiện đúng quan điểm cá nhân với tinh thần xây dựng.</t>
  </si>
  <si>
    <t>- Luôn bình tĩnh khi nói, tránh việc biến cuộc giao tiếp thành cuộc thi hùng biện. Lời nói nhẹ nhàng, gần gũi, truyền cảm hứng, thái độ tôn trọng người nghe, có trên có dưới, tuyệt đối tránh cách nói chuyện như ra lệnh.</t>
  </si>
  <si>
    <t>- Luôn luôn giữ chừng mực khi nói, lời nói logic, rõ ràng, mạch lạc, lịch sự (bao gồm cả ngôn ngữ cơ thể và ngôn ngữ nói).</t>
  </si>
  <si>
    <t>- Không khoe khoang về bản thân mình trong môi trường làm việc tập thể, không nói lời tự cao tự đại.</t>
  </si>
  <si>
    <t>- Không đàm tiếu về người khác gây mất đoàn kết.</t>
  </si>
  <si>
    <t>c. Kỹ năng đọc hiểu: Là việc sử dụng kết hợp nhiều kỹ năng khác nhau để nắm được nội dung, ý nghĩa cũng như các vấn đề, giải pháp được đề cập trong văn bản. Kỹ năng đọc là kỹ năng cần trau dồi thường xuyên, lâu dài nhất để mỗi cá nhân hình thành và phát triển bền vững năng lực học tập.</t>
  </si>
  <si>
    <t>- Kỹ năng đọc hiểu chung cho mọi văn bản:</t>
  </si>
  <si>
    <t>o Nhận biết thể loại của văn bản, nội dung của văn bản: Thư, tài liệu, nội quy, quy định…</t>
  </si>
  <si>
    <t>o Hiểu được tư tưởng, mục đích của tác giả gửi gắm trong văn bản: Khen thưởng, thông báo…</t>
  </si>
  <si>
    <t>o Nắm được chủ đề, nội dung quan trọng, hệ thống hoá lại các vấn đề quan trọng sau khi đọc văn bản.</t>
  </si>
  <si>
    <t>- Kỹ năng đọc hiệu quả:</t>
  </si>
  <si>
    <t>o Đặt ra những câu hỏi trước khi đọc.</t>
  </si>
  <si>
    <t>o Trả lời câu hỏi đọc văn bản này nhằm mục đích gì.</t>
  </si>
  <si>
    <t>o Vấn đề cần khai thác được đề cập trong văn bản.</t>
  </si>
  <si>
    <t>o Sử dụng kỹ thuật ghi nhớ:</t>
  </si>
  <si>
    <t>✓ Xác định bố cục của văn bản như: Ý chính, ý phụ, kết luận.</t>
  </si>
  <si>
    <t>✓ Dùng các ký hiệu, bút đánh dấu để phân biệt các ý quan trọng khác.</t>
  </si>
  <si>
    <t>✓ Biết cách đọc các ký hiệu, chú thích, đồ thị, nhãn đính kèm, hình ảnh…</t>
  </si>
  <si>
    <t>o Kiến thức, nội dung đọng lại sau khi đọc văn bản.</t>
  </si>
  <si>
    <t>o Tư duy liên tưởng, suy luận, dự đoán, so sánh, kết nối nội dung thể hiện trong văn bản đọc với các văn bản khác và hoàn cảnh thực tế.</t>
  </si>
  <si>
    <t>d. Kỹ năng thuyết trình</t>
  </si>
  <si>
    <t>- Chuẩn bị nội dung thuyết trình:</t>
  </si>
  <si>
    <t>o Nội dung bài thuyết trình cần chia ra các phần logic, khoa học: Đặt vấn đề, phần nội dung chính, cuối cùng là kết luận tóm lại toàn bộ bài thuyết trình.</t>
  </si>
  <si>
    <t>o Trong một bài thuyết trình nên chia rõ ràng các nội dung và trình bày hoàn tất từng đầu mục, tránh hiện tượng đang nói vấn đề này lại chuyển sang vấn đề khác làm mạch bài lộn xộn, khiến người nghe khó theo dõi và dễ chán nản.</t>
  </si>
  <si>
    <t>o Xác định chính xác nội dung cần thuyết trình: Tìm hiểu rõ nguồn thông tin, tư liệu, số liệu liên quan tới nội dung cần thuyết trình, đảm bảo nói đủ, nói đúng và có logic.</t>
  </si>
  <si>
    <t>o Đơn giản hóa những nội dung để người nghe dễ hiểu, dễ tiếp nhận</t>
  </si>
  <si>
    <t>o Lựa chọn các thông tin chính nhất để nói, không nói dài dòng, lan man, cần nói ngắn gọn, xúc tích, đi vào nội dung chính của buổi thuyết trình.</t>
  </si>
  <si>
    <t>o Nhấn mạnh những luận điểm quan trọng xung quanh của chủ đề.</t>
  </si>
  <si>
    <t>- Kỹ năng thuyết trình:</t>
  </si>
  <si>
    <t>o Phong thái tự tin khi thuyết trình, giao tiếp bằng ánh mắt với tất cả người nghe, tạo ấn tượng qua lời nói, giọng điệu và tác phong chuyên nghiệp linh hoạt xử lý các tình huống phát sinh trong khi thuyết trình.</t>
  </si>
  <si>
    <t>o Chuẩn bị kỹ nội dung thuyết trình, tập duyệt trước gương</t>
  </si>
  <si>
    <t>o Mở đầu bài thuyết trình ấn tượng và khuấy động không khí: Đặt câu hỏi bất ngờ, một câu chuyện hoặc một tình huống hài hước hay vài con số thống kê…</t>
  </si>
  <si>
    <t>o Không quá tập trung vào bản tài liệu, quá tập trung nói, tập trung nhìn máy tính hay nhìn màn hình chiếu mà quên mất người nghe phía dưới, không tương tác ánh mắt, tương tác ngôn ngữ cơ thể, hiểu tình huống phù hợp để có được giọng nói truyền đạt đúng được cảm xúc.</t>
  </si>
  <si>
    <t>o Nên cười thật tươi, ngắm nhìn cả hội trường trong khi nói, nhấn nhá lên xuống, biểu cảm cả cơ mặt, di chuyển đều sang hai bên, cả phía trên và dưới sân khấu…</t>
  </si>
  <si>
    <t>o Khi thể hiện kỹ năng thuyết trình cần chú ý giọng phải có điểm nhấn nhá trầm bổng kèm theo có nhịp điệu.</t>
  </si>
  <si>
    <t>- Vấn đề cần tránh của kỹ năng thuyết trình:</t>
  </si>
  <si>
    <t>o Ăn mặc luộm thuộm không đúng chủ đề.</t>
  </si>
  <si>
    <t>o Luôn cử động lắc lư, rung chân.</t>
  </si>
  <si>
    <t>o Thuyết trình như đọc từ văn bản mẫu viết sẵn.</t>
  </si>
  <si>
    <t>o Không chịu tiếp xúc ánh mắt với người nghe.</t>
  </si>
  <si>
    <t>o Lạm dụng quá nhiều vào slide trình chiếu.</t>
  </si>
  <si>
    <t>o Không tạo được không khí sôi nổi phấn khích.</t>
  </si>
  <si>
    <t>o Kết thúc bài phát biểu một cách sơ sài nhạt nhẽo.</t>
  </si>
  <si>
    <t>e. Kỹ năng sử dụng điện thoại:</t>
  </si>
  <si>
    <t>- Quy tắc chung trong việc sử dụng điện thoại:</t>
  </si>
  <si>
    <t>o Nói năng lịch sự và phát âm chuẩn; không sử dụng những từ ngữ như mệnh lệnh.</t>
  </si>
  <si>
    <t>o Nói rõ ràng và ngắn gọn, ngắt lời đúng lúc, giọng nói vừa đủ không gây ảnh hưởng đến đồng nghiệp khác đang làm việc.</t>
  </si>
  <si>
    <t>o Cư xử chuyên nghiệp và khéo léo, kiềm chế cảm xúc.</t>
  </si>
  <si>
    <t>o Tìm khu vực khi nói chuyện điện thoại di động để đảm bảo sự riêng tư.</t>
  </si>
  <si>
    <t>o Không nên làm việc khác khi đang nghe điện thoại.</t>
  </si>
  <si>
    <t>o Gọi lại khi có cuộc gọi nhỡ.</t>
  </si>
  <si>
    <t>- Kỹ thuật giao tiếp điện thoại bàn nơi công sở:</t>
  </si>
  <si>
    <t>o Khi nhận điện thoại: Khi có chuông điện thoại rung thì bạn nên:</t>
  </si>
  <si>
    <t>✓ Để điện thoại reo không quá 3 lần.</t>
  </si>
  <si>
    <t>✓ Nói: Xin chào và tự giới thiệu mình; Hỏi: Tôi có thể giúp được gì?</t>
  </si>
  <si>
    <t>✓ Tập trung vào cuộc gọi; đề nghị gọi lại nếu cần.</t>
  </si>
  <si>
    <t>✓ Chuẩn bị sẵn bút bên tay phải để ghi chép vào sổ, phiếu chuyên dụng.</t>
  </si>
  <si>
    <t>✓ Ghi lại điện thoại người gọi, thông tin cần thiết.</t>
  </si>
  <si>
    <t>✓ Không ngắt lời người gọi.</t>
  </si>
  <si>
    <t>o Khi nghe điện thoại:</t>
  </si>
  <si>
    <t>Lưu ý chung:</t>
  </si>
  <si>
    <t>✓ Không nên dí sát ống nói vào miệng bạn mà giữ cách xa khoảng 10 cm để tránh cho người gọi nghe thấy rõ hơi thở của bạn vọng vào.</t>
  </si>
  <si>
    <t>✓ Không biểu lộ sự bực bội mà thay vào đó hãy bình tĩnh rồi nhẩm đếm từ 1-3.</t>
  </si>
  <si>
    <t>✓ Gác mọi công việc khác mà bạn đang làm dở hoặc quay lưng lại với những gì gây mất tập trung rồi nhìn vào khoảng giữa hay vật gì đó để tập trung trả lời.</t>
  </si>
  <si>
    <t>✓ Lắng nghe cách ngắt câu và hơi thở của người gọi.</t>
  </si>
  <si>
    <t>o Nguyên tắc chọn giọng nói:</t>
  </si>
  <si>
    <t>✓ Không ngả người ra ghế tựa, ghế xoay;</t>
  </si>
  <si>
    <t>✓ Nói rõ ràng và nhấn mạnh vào ý chính;</t>
  </si>
  <si>
    <t>✓ Giảm nhịp độ nói để tăng thông tin: Để hiểu dễ và rõ hơn, để nhớ ý chính và ghi chép lại vấn đề cần quan tâm.</t>
  </si>
  <si>
    <t>✓ Chọn lời nói thích hợp, hoà nhã (ví dụ: Xin anh giữ máy để tôi đi gọi giúp anh; Xin lỗi đã làm anh phải đợi lâu; Không có gì; Cảm ơn…).</t>
  </si>
  <si>
    <t>✓ Không nên đặt các câu hỏi dẫn dắt hoặc chêm vào như: Tôi cho rằng…, Ý ông là…</t>
  </si>
  <si>
    <t>o Nguyên tắc điều chỉnh cảm xúc theo người gọi:</t>
  </si>
  <si>
    <t>✓ Người gọi đang vội nên cần ngắn gọn.</t>
  </si>
  <si>
    <t>✓ Người thích tán gẫu muốn bạn dành thời gian.</t>
  </si>
  <si>
    <t>✓ Người tuyệt vọng cần được sự cảm thông.</t>
  </si>
  <si>
    <t>✓ Người phàn nàn muốn được lắng nghe và thấu hiểu.</t>
  </si>
  <si>
    <t>✓ Người cần dịch vụ muốn được hướng dẫn và lời khuyên.</t>
  </si>
  <si>
    <t>o Nếu bạn làm được như vậy thì người gọi sẽ hài lòng vì:</t>
  </si>
  <si>
    <t>✓ Được đối xử như một cá nhân.</t>
  </si>
  <si>
    <t>✓ Được lắng nghe và chia sẻ; được hiểu và thông cảm.</t>
  </si>
  <si>
    <t>✓ Được coi là quan trọng.</t>
  </si>
  <si>
    <t>✓ Được giải quyết nhanh chóng; được trao đổi có trách nhiệm.</t>
  </si>
  <si>
    <t>✓ Được trả lời kết quả mong muốn.</t>
  </si>
  <si>
    <t>✓ Được gọi lại để khẳng định; được nhiều hơn cả mong đợi.</t>
  </si>
  <si>
    <t>o Nếu bạn nghe điện thoại hộ người khác (nhớ hỏi lại thông tin):</t>
  </si>
  <si>
    <t>✓ Tên người gọi, tên cơ quan, địa chỉ (nếu có).</t>
  </si>
  <si>
    <t>✓ Muốn gặp ai.</t>
  </si>
  <si>
    <t>✓ Cần nhắn tin hay liên hệ việc gì, chi tiết việc nhắn tin, liên hệ.</t>
  </si>
  <si>
    <t>✓ Khi nào thì gọi lại; muốn gọi lại bằng cách nào.</t>
  </si>
  <si>
    <t>✓ Nhắc lại cho người gọi để xác nhận.</t>
  </si>
  <si>
    <t>o Nguyên tắc nghe khiếu nại:</t>
  </si>
  <si>
    <t>✓ Không nói những câu đại loại như: Tôi không biết; tôi không thể; bạn cần phải…; đợi tí xíu nhé; A lô! Tôi đang bận; tôi không thấy có vấn đề gì cả; mai ông gọi lại nhé; không ai biết đâu; tôi mới chỉ làm ở đây; ngày mai tôi nghỉ phép; đấy không phải là việc của tôi…</t>
  </si>
  <si>
    <t>✓ Không biện hộ, cãi cùn đến cùng; không hứa hẹn suông.</t>
  </si>
  <si>
    <t>✓ Không đổ lỗi cho họ không biết cách sử dụng.</t>
  </si>
  <si>
    <t>✓ Hãy thực hiện 4 nền tảng sau: Thái độ cầu thị; ghi nhận và thông cảm; thảo thuận cùng giải quyết; quan tâm, thực tế.</t>
  </si>
  <si>
    <t>o Nguyên tắc nghe người phản đối:</t>
  </si>
  <si>
    <t>✓ Không tranh luận hơn thua với họ; cứ để cho họ trút hết cơn giận.</t>
  </si>
  <si>
    <t>✓ Đừng ngắt lời họ đang nói; thực hiện 4 nền tảng.</t>
  </si>
  <si>
    <t>o Nguyên tắc nghe người thô lỗ:</t>
  </si>
  <si>
    <t>✓ Hãy coi như là chuyện nhỏ; đừng trả đũa họ.</t>
  </si>
  <si>
    <t>✓ Đừng giải quyết cá nhân; thực hiện 4 nền tảng.</t>
  </si>
  <si>
    <t>o 5 quy tắc để có được những cuộc gọi thành công:</t>
  </si>
  <si>
    <t>✓ Quy tắc 1: Trong mọi trường hợp, hãy bắt đầu bằng lời chào đích danh người nghe.</t>
  </si>
  <si>
    <t>✓ Quy tắc 2: Sau lời chào nhất định bạn phải tự giới thiệu bản thân mình.</t>
  </si>
  <si>
    <t>✓ Quy tắc 3: Hãy xác nhận xem có đúng người muốn gặp đang cầm máy nói chuyện với mình (đối với những cuộc gọi tiếp xúc lần đầu tiên, đối với điện thoại bàn).</t>
  </si>
  <si>
    <t>✓ Quy tắc 4: Nếu bạn định gọi điện thoại đến để trình bày rõ ràng về một đề án, một ý tưởng nào đó, thì bạn nên trao đổi xem người nghe có thể dành cho mình một khoảng thời gian cụ thể (03, 05 phút…) không.</t>
  </si>
  <si>
    <t>✓ Quy tắc 5: Mặc dù người nghe không thể nhìn thấy bạn, nhưng hãy để người nghe cảm thấy được ngữ điệu dễ chịu của giọng bạn, sự ấm áp, thân thiện của bạn.</t>
  </si>
  <si>
    <t>- Văn hoá sử dụng điện thoại di động (ĐTDĐ):</t>
  </si>
  <si>
    <t>o Không sử dụng quá thường xuyên điện thoại di động nơi công sở.</t>
  </si>
  <si>
    <t>o Chỉ sử dụng điện thoại cho những cuộc gọi quan trọng liên quan đến công việc.</t>
  </si>
  <si>
    <t>o Để chuông vừa đủ hoặc để chế độ rung; một số trường hợp đặc biệt có thể tắt nguồn điện thoại.</t>
  </si>
  <si>
    <t>o Khi tham gia cuộc họp hoặc gặp khách hàng/ đối tác phải để điện thoại ở chế độ rung.</t>
  </si>
  <si>
    <t>o Tìm một nơi riêng tư để thực hiện các cuộc gọi không liên quan đến công việc.</t>
  </si>
  <si>
    <t>o Dùng điện thoại trong một cuộc họp quan trọng trừ khi … nó được sử dụng cho việc gì đó liên quan đến công việc.</t>
  </si>
  <si>
    <t>o Sử dụng đồng hồ đeo tay để kiểm tra thời gian.</t>
  </si>
  <si>
    <t>3. Các công cụ giao tiếp phi ngôn ngữ trong văn hoá giao tiếp</t>
  </si>
  <si>
    <t>a. Bắt tay: Cho dù mối quan hệ vốn có thân thiết đến đâu cũng không nên bộc lộ thái quá cảm xúc của mình (như la hét, mừng rú hay nhảy cẫng lên…) ở nơi công cộng hoặc ngoài đường phố. Việc bắt tay phải được tôn trọng theo những quy ước sau:</t>
  </si>
  <si>
    <t>- Khi bắt tay cần biểu thị tình cảm đúng mức:</t>
  </si>
  <si>
    <t>o Nam giới với nhau nên nắm cả bàn tay, siết chặt rồi giữ ít lâu.</t>
  </si>
  <si>
    <t>o Giữa nam và nữ thì người nữ chỉ nên nắm hờ, nam không nên siết chặt hoặc nắm quá lâu làm bàn tay của người nữ bị đau, nhất là khi người nữ đeo nhiều nhẫn trên các ngón tay.</t>
  </si>
  <si>
    <t>- Cần bắt tay với tư thế bình đẳng, tôn trọng lẫn nhau, tư thế đứng thẳng người, chỉ chìa tay phải ra; người đứng ở chỗ cao không được chìa tay ra để bắt tay với người đứng ở chỗ thấp hơn.</t>
  </si>
  <si>
    <t>- Bắt bằng tay phải (trừ trường hợp không thể được). Không nên bắt bằng tay trái vì như thế là thiếu lịch sự và dễ gây hiểu lầm với người khác phái.</t>
  </si>
  <si>
    <t>- Chủ nhà chủ động giơ tay trước để bắt tay từng người khách. Riêng các khách với nhau không nên chủ động bắt tay với người chưa quen biết (cần làm thủ tục giới thiệu xong rồi mới bắt tay), người có cương vị cao hơn hoặc là nữ chủ động bắt tay trước.</t>
  </si>
  <si>
    <t>- Thứ tự bắt tay: người đến trước thì bắt tay trước, người đến sau bắt sau. Đầu tiên phải bắt tay người đến trước mình, người cao tuổi, người có chức vụ, địa vị. Lưu ý rằng phải chờ người đáng kính đưa tay ra mình mới nhận bắt chứ không chìa tay ra trước. Tuy nhiên trong mọi trường hợp không nên tỏ thái độ khúm núm, cong gập người quá độ, dù rằng người đó có đáng kính trọng đến mức nào đi nữa (trừ những trường hợp ngoại giao theo văn hoá quốc tế).</t>
  </si>
  <si>
    <t>- Chỉ cần siết chặt vừa phải; không bắt tay quá lâu, lắc mạnh, lắc nhiều lần, nhất là kèm theo việc cười nói quá mức; vừa bắt tay vừa vỗ vai khách hay ngoảnh mặt đi; đưa cả hai tay để bắt tay hai người cùng một lúc; Vừa bắt tay vừa ngậm thuốc lá, lại đút tay khác vào túi quần là điều tối kỵ.</t>
  </si>
  <si>
    <t>b. Danh thiếp: Trao tặng danh thiếp cho nhau cũng là một nghệ thuật giao tiếp phi ngôn ngữ, một nét văn hoá đời thường. Bởi vì qua danh thiếp người ta có thể biết được phần nào về trình độ học thức, công việc và địa vị xã hội của nhau.</t>
  </si>
  <si>
    <t>- Danh thiếp được in hai mặt (tên, tên cơ quan, chức danh, số điện thoại, địa chỉ web).</t>
  </si>
  <si>
    <t>- Khi tặng quà cho người quen nên kèm theo danh thiếp vào đó.</t>
  </si>
  <si>
    <t>- Khi đến thăm người quen mà không gặp được, bạn có thể để lại danh thiếp và ghi lại thông báo cho họ biết là bạn có đến thăm.</t>
  </si>
  <si>
    <t>- Nếu gặp gỡ lần đầu tiên thì việc trao danh thiếp thuộc về người chủ. Người vị trí thấp hơn trao danh thiếp trước cho người có vị trí cao hơn.</t>
  </si>
  <si>
    <t>- Khi trao danh thiếp thì tuỳ theo địa vị người giao tiếp mà bạn đưa bằng một tay hoặc hai tay nhưng nhất thiết phải đưa đúng chiều và ngôn ngữ để người đối diện có thể đọc được.</t>
  </si>
  <si>
    <t>- Khi nhận danh thiếp bạn nên đọc qua ít phút để tôn trọng họ rồi nhẹ nhàng đút vào túi áo, kẹp vào quyển sổ hay túi cho vào xắc tay của bạn. Tuyệt đối không nhận ngay rồi cho luôn vào túi quần, dù rằng đó là túi trước hay túi sau. Làm như vậy người đối diện sẽ cho bạn là một người mất lịch sự và không tôn trọng họ.</t>
  </si>
  <si>
    <t>- Không lạm dụng danh thiếp để quảng cáo, tô vẽ bản thân. Tránh in danh thiếp quá mỏng manh, loè loẹt, cầu kỳ hoặc quá nhiều chức danh không liên quan/phù hợp với công việc.</t>
  </si>
  <si>
    <t>c. Ôm hôn hữu nghị: Ôm hôn là một hành vi phi ngôn ngữ để biểu lộ tình cảm tích cực: Tình bằng hữu, sự yêu thương, tính lịch sự, chào đón hay chia tay. Người ta thường ôm và kề má vào nhau, hoặc ôm và quàng tay lên cổ nhau nhưng chỉ với những người thân thiết và cùng lứa tuổi với nhau.</t>
  </si>
  <si>
    <t>Trong giao tiếp quốc tế cũng như đón khách nước ngoài, chúc mừng nhau nhân sự kiện trọng đại… có một nghi thức xã giao theo truyền thống châu Âu để biểu thị tình cảm hữu nghị là ôm hôn hữu nghị. Có trường hợp hai bên không chỉ ôm hôn nhau mà còn có một số động tác liên hoàn, tức là: Bắt tay - ôm nhau - hôn nhau (áp má trái, má phải vào nhau) - một hoặc hai tay vỗ nhẹ vào lưng nhau.</t>
  </si>
  <si>
    <t>- Nguyên tắc giao tiếp ôm hôn hữu nghị:</t>
  </si>
  <si>
    <t>o Thực hiện đúng nơi, đúng lúc, đúng đối tượng nếu không nó sẽ trở nên thiếu tế nhị, khiến đối phương khó xử, xấu hổ ảnh hưởng đến hiệu quả của cuộc giao tiếp;</t>
  </si>
  <si>
    <t>o Để thực hiện hiệu quả nghi thức này bạn cần chú ý vẫn giữ tư thế, dáng đứng, khuôn mặt, ánh mắt, nụ cười phù hợp, bộc lộ sự thân thiện, cởi mở;</t>
  </si>
  <si>
    <t>o Khi ôm hôn không nên quá chặt hoặc quá lâu gây khó chịu cho đối phương. Thường khi thực hiện nghi thức này hai tay của người giao tiếp sẽ quàng qua nhau và có sự tiếp xúc nhẹ về cơ thể, biểu lộ sự thân thiện, ấm áp;</t>
  </si>
  <si>
    <t>o Chỉ ôm hôn khi người khác có ý muốn ôm hôn để chào hỏi mình; thường là hôn chạm vào má, không hôn lên trán, môi.</t>
  </si>
  <si>
    <t>- Văn hóa ôm hôn hữu nghị của một số quốc gia trên thế giới:</t>
  </si>
  <si>
    <t>o Người Mỹ la tinh vừa ôm hôn vừa vỗ lưng.</t>
  </si>
  <si>
    <t>o Người Nga thì hôn má 3 lần.</t>
  </si>
  <si>
    <t>o “Chuẩn mực” xã giao ở hầu hết các nước châu Âu: Đầu tiên là hôn bên phải, sau đó đến má trái. Đối với người bạn chỉ quen biết sơ sơ, không thân thiết thì có thể bắt tay chào hỏi. Tuy nhiên, tùy từng quốc gia, các vùng miền trên mỗi quốc gia hoặc mức độ thân thiết mà số lượng nụ hôn tăng lên hay ít đi.</t>
  </si>
  <si>
    <t>o Tại Pháp khi chào hỏi người ta thường hôn nhẹ lên má phải của người đối diện.</t>
  </si>
  <si>
    <t>o Người Hà Lan là hôn 3 lần theo thứ tự: má phải - má trái - má phải.</t>
  </si>
  <si>
    <t>o Người dân Hy Lạp có thói quen bắt tay với người quen biết, ôm và hôn với người thân thiết.</t>
  </si>
  <si>
    <t>o Ở xứ sở của những vũ điệu samba - Brazil, phụ nữ thường thích chào hỏi với nụ hôn hơn nam giới.</t>
  </si>
  <si>
    <t>o Tại Rio de Janeiro, bạn sẽ được chào hỏi bằng hai nụ hôn lên má.</t>
  </si>
  <si>
    <t>o Đến Argentina, bạn hãy hôn một cái lên má phải và ôm nhẹ khi gặp gỡ.</t>
  </si>
  <si>
    <t>o Một cái bắt tay và câu nói “G’day” (Ngày mới tốt lành) là những tiêu chuẩn mà bạn cần làm khi gặp gỡ bạn bè người Australia. Nếu là người thân thiết, hãy tặng thêm cho họ một nụ hôn lên má.</t>
  </si>
  <si>
    <t>o Đến đất nước chùa vàng Thái Lan, bạn sẽ được mọi người chào đón bằng việc chắp hai tay vào nhau, cúi đầu để trán chạm vào đầu ngón tay của bạn. Đây là một hành động chào hỏi thể hiện sự tôn trọng và trịnh trọng hơn là bắt tay.</t>
  </si>
  <si>
    <t>o Khi gặp người Mỹ, bạn nên chào hỏi họ bằng cách bắt tay hoặc đấm tay vào người đối diện. Tổng thống Obama là một trong số những người rất thích chào hỏi bằng “nắm đấm” như thế này.</t>
  </si>
  <si>
    <t>o Trước đây, người Trung Quốc khi gặp nhau thường khum một bàn tay và đặt bàn tay khác lên trên, đưa ra trước mặt nhằm thể hiện sự tôn trọng. Ngày nay, hành động đó được thay bằng việc bắt tay. Nếu muốn thể hiện sự tôn trọng với đối phương, bạn có thể cúi thấp đầu hơn khi bắt tay họ.</t>
  </si>
  <si>
    <t>d. Tặng quà: Tặng quà là một hoạt động giao lưu xã hội vừa mang tính vật chất, vừa mang tính tinh thần. Đây là một hoạt động tích cực nằm tạo ra những giá trị, thông điệp nhất định giữa người cho và người nhận: Giúp hình thành, duy trì, nuôi dưỡng, gắn kết các mối quan hệ; làm tăng thêm tình cảm, tăng thiện chí, đưa con người xích lại gần nhau hơn. Hoặc nhằm bày tỏ tình cảm, tình yêu, sự quan tâm, tôn trọng, hoà giải, lòng biết ơn của người tặng đối với người được tặng.</t>
  </si>
  <si>
    <t>- Lựa chọn quà tặng:</t>
  </si>
  <si>
    <t>o Quà tặng nên phù hợp với nhu cầu, sở thích, mong muốn … của người được tặng.</t>
  </si>
  <si>
    <t>o Qùa tặng không cần thiết quá đề cao giá trị vật chất mà quan trọng hơn ở giá trị tinh thần, thể hiện sự chân thành của người tặng đối với người được tặng.</t>
  </si>
  <si>
    <t>o Quà tặng và cách tặng quà nên phù hợp với văn hoá mỗi quốc gia, dân tộc, khu vực, vùng miền. Hãy tìm hiểu trước về văn hoá khu vực của đối tác, khách hàng… mà bạn muốn tặng.</t>
  </si>
  <si>
    <t>- Cách tặng quà:</t>
  </si>
  <si>
    <t>o Quà tặng nên được gói bọc chu đáo, đẹp mặt, hoặc đựng trong túi lịch sự. Điều này thể hiện sự tôn trọng của bạn dành cho người nhận quà.</t>
  </si>
  <si>
    <t>o Tặng quà nên đưa bằng cả 02 tay. Điều này cho thấy bạn trân trọng món quà và tôn trọng người nhận.</t>
  </si>
  <si>
    <t>o Khi tặng quà, nên đi kèm một lời chúc và nở nụ cười thiện cảm dành cho người nhận.</t>
  </si>
  <si>
    <t>- Những điều không nên khi tặng quà:</t>
  </si>
  <si>
    <t>o Cho dù món quà đơn giản và xoàng xĩnh cũng không nên xin lỗi người nhận về điều đó, kiểu như: “Mình rất xin lỗi nhưng hiện không có món quà nào hay cả, nên mình đành phải chọn món quà này thôi”.</t>
  </si>
  <si>
    <t>o Không kể lể người nhận về việc bạn đã bỏ rất nhiều công sức và thời gian để tìm kiếm món quà. Việc này có thể làm giảm giá trị món quà.</t>
  </si>
  <si>
    <t>o Không nên để tem mác có ghi giá món quà.</t>
  </si>
  <si>
    <t>o Không tỏ thái đồ thờ ơ, miễn cưỡng hoặc quá trịch thượng khi tặng quà.</t>
  </si>
  <si>
    <t>1. Những ngày sự kiện theo quy định của Công ty</t>
  </si>
  <si>
    <t>Sự kiện</t>
  </si>
  <si>
    <t>Thời gian</t>
  </si>
  <si>
    <t>Du xuân</t>
  </si>
  <si>
    <t>Dự kiến Tháng 02 (Sau Tết Nguyên đán)</t>
  </si>
  <si>
    <t>Ngày Quốc Tế Phụ nữ</t>
  </si>
  <si>
    <t>Ngày 8/3</t>
  </si>
  <si>
    <t>Du lịch Hè</t>
  </si>
  <si>
    <t>Dự kiến từ tháng 4 đến tháng 9 hàng năm</t>
  </si>
  <si>
    <t>Ngày Sinh nhật Công ty</t>
  </si>
  <si>
    <t>Ngày 31/5 (2005)</t>
  </si>
  <si>
    <t>Ngày Phụ Nữ Việt Nam</t>
  </si>
  <si>
    <t>Ngày 20/10</t>
  </si>
  <si>
    <t>Ngày Quốc tế đàn ông</t>
  </si>
  <si>
    <t>Ngày 19/11</t>
  </si>
  <si>
    <t>Tiệc Tất niên</t>
  </si>
  <si>
    <t>Tháng 12 - 01</t>
  </si>
  <si>
    <t>2. Quy trình triển khai các sự kiện của Công ty</t>
  </si>
  <si>
    <t>a. Định nghĩa</t>
  </si>
  <si>
    <t>- Ngày hội văn hoá (Du xuân, Du lịch Hè,…): Là những sự kiện với nhiều hoạt động gắn kết để xây dựng và phát triển văn hóa Công ty, giúp các thành viên trong Công ty có cơ hội giao lưu với các Phòng/ Ban/ Chi nhánh khác hoặc giao lưu với các thành viên trong gia đình với nhau. Đến với ngày hội Văn hóa Công ty, các thành viên có cơ hội tham gia hàng loạt các hoạt động tập thể, trò chơi lớn, cùng các cuộc thi sôi động về văn hóa/ thể thao/ văn nghệ…; được trải nghiệm tham quan du lịch các vùng miền khác nhau trên đất nước Việt Nam/ Quốc tế; Từ đó, mỗi thành viên sẽ thấu hiểu văn hóa Công ty, được tiếp thêm sức mạnh tập thể, tinh thần đoàn kết để tiếp tục phát huy sức mạnh nội lực, hướng đến mục tiêu chung của Công ty.</t>
  </si>
  <si>
    <t>- Kỷ niệm Sinh nhật Công ty: Là kỉ niệm ngày thành lập Công ty, đánh dấu mốc lịch sử phát triển Công ty theo thời gian.</t>
  </si>
  <si>
    <t>o Các năm thứ 5 – 10 – 15 – 20,....: Ngày sinh nhật Công ty được tổ chức lớn, như một ngày hội văn hóa.</t>
  </si>
  <si>
    <t>o Các năm 1, 2, 3, 4, 6, 7,...: Ngày sinh nhật Công ty được tổ chức với quy mô nhỏ và chương trình đơn giản hơn. Hoặc tùy theo kế hoạch hàng năm, có thể được điều chỉnh quy mô chương trình phù hợp.</t>
  </si>
  <si>
    <t>- Các cuộc thi đấu thể thao/ sáng tác/ tay nghề tài hoa,…: Là cơ hội để toàn thể Công ty được giao lưu văn hóa - thể thao - nghệ thuật; là lúc để chúng ta xả stress sau những ngày làm việc tập trung và căng thẳng; là dịp để CBNV được thể hiện tài năng của bản thân và được tôn vinh.</t>
  </si>
  <si>
    <t>b. Quy trình tổ chức chung</t>
  </si>
  <si>
    <t>- Bước 1: Lên ý tưởng và khung chương trình:</t>
  </si>
  <si>
    <t>o Lên ý tưởng và lập Kế hoạch khung chương trình.</t>
  </si>
  <si>
    <t>o BGĐ và BTC họp thống nhất nội dung, hình thức tổ chức chương trình, duyệt Kế hoạch khung.</t>
  </si>
  <si>
    <t>o Bầu Ban tổ chức (BTC), phân công nhiệm vụ cụ thể cho từng thành viên BTC (Phòng/ Ban), cách thức phối hợp, thời gian hoàn thành các đầu mục trong kế hoạch khung.</t>
  </si>
  <si>
    <t>o Thành phần BTC bắt buộc:</t>
  </si>
  <si>
    <t>✓ Phụ trách chính: Truyền thông nội bộ hoặc BCHCĐ.</t>
  </si>
  <si>
    <t>✓ Các Tiểu ban gồm: Hành chính nhân sự; Kế toán; Marketing và các cá nhân tự nguyện đăng ký ở các Phòng/ Ban còn lại.</t>
  </si>
  <si>
    <t>Lưu ý: Căn cứ vào quy mô của từng chương trình/ sự kiện cụ thể, thành phần BTC có thể được điều chỉnh tăng/ giảm để đảm bảo công tác chuẩn bị và vận hành sự kiện được thành công.</t>
  </si>
  <si>
    <t>- Bước 2: Xây dựng kế hoạch chi tiết và chuẩn bị chương trình:</t>
  </si>
  <si>
    <t>o BTC xây dựng Kế hoạch chi tiết, kịch bản chương trình, dự trù kinh phí, lựa chọn đối tác dịch vụ, lựa chọn địa điểm - thời gian tổ chức, tổ chức đi tiền trạm,…</t>
  </si>
  <si>
    <t>o BGĐ thông qua kế hoạch chi tiết và BTC truyền thông chương trình tới toàn thể CBNV.</t>
  </si>
  <si>
    <t>o Phụ trách chính chương trình tổ chức triển khai kế hoạch và bàn giao nhiệm vụ với các Tiểu ban theo checklist cụ thể.</t>
  </si>
  <si>
    <t>o Hoàn tất thủ tục tạm ứng chi phí cho chương trình và các thủ tục giấy tờ, xin cấp phép của cơ quan chức năng… (nếu cần).</t>
  </si>
  <si>
    <t>o Các Tiểu ban thực hiện công tác hậu cần, chuẩn bị lịch trình, kịch bản chi tiết cho chương trình theo đúng vai trò – nhiệm vụ được giao.</t>
  </si>
  <si>
    <t>o BTC tiến hành phân xe, tuyến xe, sắp xếp phòng ở Khách sạn…chi tiết và Thông báo cho toàn thể CBNV.</t>
  </si>
  <si>
    <t>- Bước 3: Tổ chức chương trình và nghiệm thu:</t>
  </si>
  <si>
    <t>o Chương trình được tổ chức đúng thời gian và địa điểm theo Kế hoạch đã được phê duyệt của BGĐ.</t>
  </si>
  <si>
    <t>o Triển khai toàn bộ các hoạt động, nội dung theo Kịch bản chi tiết đã được duyệt trước đó.</t>
  </si>
  <si>
    <t>o BTC phải thể hiện rõ vai trò và trách nhiệm của mình xuyên suốt thời gian sự kiện được diễn ra.</t>
  </si>
  <si>
    <t>o Nghiệm thu sau khi chương trình kết thúc. Lấy phiếu khảo sát đánh giá/ cảm nghĩ của CBNV để đánh giá hiệu quả của chương trình và rút kinh nghiệm những điểm chưa đạt trong khâu chuẩn bị và tổ chức để các chương trình sau diễn ra được hoàn thiện hơn.</t>
  </si>
  <si>
    <t>o Phụ trách chính hoàn thành thủ tục thanh quyết toán cho Phòng Kế toán trong vòng 05 ngày sau khi sự kiện diễn ra.</t>
  </si>
  <si>
    <t>o Lên bài truyền thông về toàn bộ chương trình trên các trang thông tin chính thức của Công ty.</t>
  </si>
  <si>
    <t>Điều 24. Văn hoá làm gương của cấp Quản lý</t>
  </si>
  <si>
    <t>1. MƯỜI điểm sáng cần lan toả - duy trì</t>
  </si>
  <si>
    <t>a. Sẵn sàng chia sẻ.</t>
  </si>
  <si>
    <t>b. Năng lượng tích cực.</t>
  </si>
  <si>
    <t>c. Chủ động.</t>
  </si>
  <si>
    <t>d. Trách nhiệm.</t>
  </si>
  <si>
    <t>e. Cầu thị.</t>
  </si>
  <si>
    <t>f. Cầu tiến.</t>
  </si>
  <si>
    <t>g. Quyết đoán – Quyết liệt.</t>
  </si>
  <si>
    <t>h. Liêm chính.</t>
  </si>
  <si>
    <t>i. Công bằng – Minh bạch.</t>
  </si>
  <si>
    <t>j. Làm hết sức – Chơi hết mình.</t>
  </si>
  <si>
    <t>2. NĂM khuyết điểm cần triệt tiêu</t>
  </si>
  <si>
    <t>a. Nóng giận quá mức.</t>
  </si>
  <si>
    <t>b. Không quyết đoán.</t>
  </si>
  <si>
    <t>c. Sợ trách nhiệm.</t>
  </si>
  <si>
    <t>d. Bảo thủ.</t>
  </si>
  <si>
    <t>e. Không thấu đáo – Áp đặt.</t>
  </si>
  <si>
    <t>1. Các quy tắc văn hoá giao tiếp của cấp trên với Người lao động cấp dưới</t>
  </si>
  <si>
    <t>a. Hãy tin và tín nhiệm người có năng lực.</t>
  </si>
  <si>
    <t>b. Quan tâm, đào tạo và bồi dưỡng người tài.</t>
  </si>
  <si>
    <t>c. Tôn trọng và lắng nghe ý kiến của cấp dưới.</t>
  </si>
  <si>
    <t>d. Hãy đến với Người lao động bằng tấm lòng và trái tim.</t>
  </si>
  <si>
    <t>e. Khen ngợi công khai – phê bình riêng tư - động viên kịp thời.</t>
  </si>
  <si>
    <t>f. Đừng bao giờ quên lời hứa.</t>
  </si>
  <si>
    <t>g. Công bằng, khách quan giữa các cấp dưới.</t>
  </si>
  <si>
    <t>h. Khi được BGĐ khen ngợi hãy gọi tên cấp dưới phụ trách dự án.</t>
  </si>
  <si>
    <t>i. Dám nhận trách nhiệm trước BGĐ khi cấp dưới của mình mắc sai phạm.</t>
  </si>
  <si>
    <t>2. Quy tắc văn hoá giao tiếp của cấp dưới với cấp trên</t>
  </si>
  <si>
    <t>a. Hãy tuân thủ trật tự, đẳng cấp. Có thể bạn không hợp với cấp trên trực tiếp và bạn cho rằng họ là người kém cỏi, không có khả năng giải quyết vấn đề. Nhưng nếu bạn “qua mặt” họ để trình lên cấp cao hơn thì bạn là người không chuyên nghiệp. Hãy nhớ là không được vượt cấp trong hệ thống tổ chức của doanh nghiệp.</t>
  </si>
  <si>
    <t>b. Cần tương tác thường xuyên về việc thực hiện công việc của mình.</t>
  </si>
  <si>
    <t>c. Hãy tiếp nhận những lời phê bình một cách tích cực.</t>
  </si>
  <si>
    <t>d. Hãy cư xử một cách khéo léo, không nói xấu, không chê bai họ sau lưng.</t>
  </si>
  <si>
    <t>e. Hãy học hỏi những phong cách và kinh nghiệm tốt của họ.</t>
  </si>
  <si>
    <t>3. Quy tắc văn hoá giao tiếp với đồng nghiệp</t>
  </si>
  <si>
    <t>Giữa đồng nghiệp với nhau cần có mối quan hệ tốt đẹp. Mọi người trong doanh nghiệp có tinh thần hỗ trợ lẫn nhau thì mới có thể phục vụ khách hàng tốt nhất. Tuy nhiên để giữ mối quan hệ tốt với đồng nghiệp cần phải có các nguyên tắc sau:</t>
  </si>
  <si>
    <t>a. Dùng hành vi của bạn làm cho đồng nghiệp thấy rằng, giao tiếp với bạn là an toàn; không nên tò mò về đời tư của người khác, không bình luận người khác sau lưng, không cố chấp với những sai lầm của đồng nghiệp.</t>
  </si>
  <si>
    <t>b. Cần có những cuộc giao tiếp trực tiếp với nhau nhưng giữ một tần số hợp lý.</t>
  </si>
  <si>
    <t>c. Cạnh tranh một cách lành mạnh vì mục đích chung của doanh nghiệp.</t>
  </si>
  <si>
    <t>d. Đối xử với đồng nghiệp một cách chân thành, khen ngợi những ưu điểm của đồng nghiệp một cách tự nhiên, không tâng bốc, xu nịnh.</t>
  </si>
  <si>
    <t>e. Phân biệt rõ việc công, việc tư.</t>
  </si>
  <si>
    <t>4. Quy tắc văn hoá giao tiếp với khách hàng</t>
  </si>
  <si>
    <t>Bất kỳ một doanh nghiệp nào cũng cần phải có kế hoạch trong giao tiếp với khách hàng. Kế hoạch đó phải nhằm đạt đợc mục đích như: Tìm hiểu nhu cầu, thị hiếu của khách hàng để kịp thời đáp ứng; thông qua phản hồi của khách hàng mà cải tiến sản phẩm, phương thức bán hàng, giao hàng hợp lý. Có nhiều hình thức giao tiếp với khách hàng như sau:</t>
  </si>
  <si>
    <t>a. Đối với khách hàng cá nhân:</t>
  </si>
  <si>
    <t>- Luôn chào hỏi và tươi cười, thái độ tích cực để tiếp đón khách hàng.</t>
  </si>
  <si>
    <t>- Không phân biệt địa vị, hình dáng, cách ăn mặc bên ngoài của khách hàng, cho dù họ chỉ đến xem hàng hoặc tham khảo giá cả của doanh nghiệp.</t>
  </si>
  <si>
    <t>- Trao đổi đầy đủ thông tin với khách hàng thể hiện sự nhiệt tình, trách nhiệm và chuyên nghiệp.</t>
  </si>
  <si>
    <t>- Cung cấp các dịch vụ tốt nhất hơn cả khách hàng mong đợi.</t>
  </si>
  <si>
    <t>- Luôn nói lời cảm ơn để khách hàng cảm nhận được sự trân trọng, hạnh phúc khi được phục vụ.</t>
  </si>
  <si>
    <t>b. Đối với khách hàng doanh nghiệp:</t>
  </si>
  <si>
    <t>- Hãy có trách nhiệm với khách hàng, đáp ứng đầy đủ, kịp thời các thông tin, dịch vụ theo điều khoản hợp đồng. Bảo mật thông tin doanh nghiệp khi trao đổi với khách hàng.</t>
  </si>
  <si>
    <t>- Tôn trọng, không can thiệp vào công việc nội bộ doanh nghiệp trừ khi khách hàng yêu cầu bạn cho lời khuyên.</t>
  </si>
  <si>
    <t>- Giao tiếp cởi mở, thân thiện nhưng giữ một khoảng cách hợp lý tránh trường hợp khiến cho khách hàng đưa ra những yêu cầu gây khó khăn, bất lợi khi đàm phán thực hiện hợp đồng.</t>
  </si>
  <si>
    <t>- Hãy nhớ rằng mọi khách hàng đều quan trọng, không phân biệt địa vị, hình dáng bên ngoài, cho dù họ chỉ tham khảo thông tin của doanh nghiệp.</t>
  </si>
  <si>
    <t>- Hãy khuyến khích khách hàng phản hồi về thông tin sản phẩm, dịch vụ của doanh nghiệp bạn.</t>
  </si>
  <si>
    <t>5. Quy tắc văn hoá giao tiếp với nhà cung cấp</t>
  </si>
  <si>
    <t>- Có kế hoạch làm việc rõ ràng, đầy đủ thông tin với nhà cung cấp những vấn đề mà khách hàng và đối tác yêu cầu trên cơ sở các quy định của pháp luật, của Công ty.</t>
  </si>
  <si>
    <t>- Không phân biệt, đối xử kém ưu tiên giữa các nhà cung cấp. Không gây khó khăn, không trục lợi cá nhân. Khi giải quyết công việc qua mọi hình thức (trực tiếp, điện thoại, văn bản, thư điện tử) phải thể hiện thái độ giao tiếp chuyên nghiệp, lịch sự.</t>
  </si>
  <si>
    <t>- Thông báo kịp thời thông qua các hình thức (văn bản, các kênh trực tuyến lưu lại nhật ký làm bằng chứng) khi có sự thay đổi về ngân sách, điều khoản hợp đồng, kế hoạch SXKD để có những điều chỉnh phù hợp.</t>
  </si>
  <si>
    <t>- Thanh toán đúng hạn theo thỏa thuận ký kết hợp đồng, có trao đổi lại với nhà cung cấp khi có thay đổi về kế hoạch thanh toán để đảm bảo sự tôn trọng và công bằng trong hợp tác.</t>
  </si>
  <si>
    <t>- Cùng trao đổi, đóng góp ý kiến nâng cao chất lượng sản phẩm, áp dụng kỹ thuật, công nghệ tiên tiến trên cơ sở tôn trọng, tiếp thu một cách chân thành.</t>
  </si>
  <si>
    <t>6. Quy tắc văn hoá giao tiếp với cơ quan chính quyền</t>
  </si>
  <si>
    <t>Bất cứ một doanh nghiệp nào cũng đều có liên hệ với các cơ quan chính quyền kể từ khi nộp đơn xin phép thành lập cho đến khi được phép hoạt động, đóng thuế… Các doanh nghiệp cần phải có những dịch vụ về an ninh, trật tự, các chính sách ưu đãi của Nhà nước. Khi đến làm việc với cơ quan chính quyền bạn cần lưu ý:</t>
  </si>
  <si>
    <t>- Trang phục nghiêm túc, chỉnh tề, tác phong làm việc đúng giờ để tôn trọng đối tác và thể hiện sự chuyên nghiệp;</t>
  </si>
  <si>
    <t>- Xác định mục tiêu rõ ràng trong mỗi chương trình làm việc cụ thể. Tập trung chuẩn bị thông tin đầy đủ, chính xác để làm việc hiệu quả.</t>
  </si>
  <si>
    <t>- Mỗi cơ quan thường có quy định riêng, hãy tôn trọng và giữ phong thái đúng mực, giao tiếp nhẹ nhàng, hoà nhã, trình bày ngắn gọn, dễ hiểu và đề nghị họ giải quyết công việc theo đúng chức trách và nhiệm vụ; Khéo léo, tinh tế xử lý nếu bạn gặp các tình huống bất bình hoặc bị gây khó khăn.</t>
  </si>
  <si>
    <t>- Luôn cẩn trọng trong công việc bảo mật thông tin doanh nghiệp. Hãy cung cấp đủ thông tin và khéo léo, linh hoạt trong công việc xử lý các yêu cầu của cơ quan chính quyền trong thẩm quyền được giao.</t>
  </si>
  <si>
    <t>- Cơ quan chính quyền là đơn vị bắt buộc phải làm việc để đảm bảo hành lang pháp lý Doanh nghiệp an toàn. Vì vậy, các bộ phận chuyên trách phải luôn chủ động, cập nhật kịp thời các quy định, chế tài để tiết kiệm chi phí xử lý vi phạm hành chính không đáng có mà còn xây dựng được mối quan hệ tốt đẹp giữa doanh nghiệp và chính quyền sở tại.</t>
  </si>
  <si>
    <t>7. Quy tắc văn hoá giao tiếp với báo chí, truyền thông</t>
  </si>
  <si>
    <t>Trong hoạt động của doanh nghiệp, đôi khi bạn cũng có dịp gặp gỡ báo chí. Bạn hãy nên tạo mối quan hệ tốt đẹp với báo chí vì có thể sẽ tiết kiệm cho doanh nghiệp bạn hàng ngàn đô-la tiền quảng cáo. Ngược lại nếu bạn quan hệ không tốt có khi doanh nghiệp gặp chuyện bất lợi, thất thiệt sẽ bị báo chí “đào bới, thổi phồng lên”. Có một số quy tắc sau để bạn cần lưu ý:</t>
  </si>
  <si>
    <t>- Chuẩn bị đầy đủ các thông tin cần thiết để cung cấp, tuyệt đối không cung cấp các thông tin bảo mật của doanh nghiệp.</t>
  </si>
  <si>
    <t>- Phong thái giao tiếp lịch sự, cởi mở, khi tiếp xúc với báo chí. Sử dụng ngôn từ đúng mực, không so sánh người này với người khác, doanh nghiệp này với doanh nghiệp kia, sản phẩm, dịch vụ của doanh nghiệp bạn với doanh nghiệp khác.</t>
  </si>
  <si>
    <t>CHƯƠNG VII</t>
  </si>
  <si>
    <t>PHÒNG, CHỐNG QUẤY RỐI TÌNH DỤC NƠI LÀM VIỆC</t>
  </si>
  <si>
    <t>Điều 26. Khái niệm quấy rối tình dục và các hành vi quấy rối tình dục</t>
  </si>
  <si>
    <t>1. Quấy rối tình dục: Là hành vi có tính chất tình dục gây ảnh hưởng tới nhân phẩm của nữ giới và nam giới, đây là hành vi không được chấp nhận, không mong muốn và không hợp lý làm xúc phạm đối với người nhận và tạo ra môi trường làm việc bất ổn, đáng sợ, thù địch và khó chịu. Công ty nghiêm cấm hành vi quấy rối tình dục tại nơi làm việc.</t>
  </si>
  <si>
    <t>2. Nơi làm việc: Là bất cứ địa điểm nào mà người lao động thực tế làm việc theo thỏa thuận hoặc phân công của người sử dụng lao động, bao gồm cả những địa điểm hay không gian có liên quan đến công việc như các hoạt động xã hội, hội thảo, tập huấn, chuyến đi công tác chính thức, bữa ăn, hội thoại trên điện thoại, các hoạt động giao tiếp qua phương tiện điện tử, phương tiện đi lại do người sử dụng lao động bố trí từ nơi ở đến nơi làm việc và ngược lại, nơi ở do người sử dụng lao động cung cấp và địa điểm khác do người sử dụng lao động quy định.</t>
  </si>
  <si>
    <t>3. Quấy rối tình dục tại nơi làm việc có thể là hành vi liên quan đến thể chất, lời nói hoặc phi lời nói, bao gồm những nội dung chủ yếu như sau:</t>
  </si>
  <si>
    <t>- Quấy rối tình dục bằng hành vi mang tính thể chất: Như việc tiếp xúc, hay cố tình động chạm không mong muốn, từ hành vi sờ mó, vuốt ve, cấu véo, ôm ấp hay hôn cho tới tấn công tình dục, hiếp dâm.</t>
  </si>
  <si>
    <t>- Quấy rối tình dục bằng lời nói: Gồm các nhận xét không phù hợp về mặt xã hội và văn hóa và không được mong muốn bằng những ngụ ý về tình dục như những chuyện cười gợi ý về tình dục hay những nhận xét về trang phục hay cơ thể của một người nào đó khi có mặt họ hoặc hướng tới họ. Hình thức này còn bao gồm cả những lời đề nghị và những yêu cầu không mong muốn hay lời mời đi chơi mang tính cá nhân một cách liên tục.</t>
  </si>
  <si>
    <t>- Quấy rối tình dục bằng hành vi phi lời nói gồm các hành động không được mong muốn như ngôn ngữ cơ thể khiêu khích, biểu hiện không đứng đắn, cái nhìn gợi tình, nháy mắt liên tục, các cử chỉ của các ngón tay. Hình thức này cũng bao gồm việc phô bày các tài liệu khiêu dâm, hình ảnh, vật, màn hình máy tính hay các áp phích cũng như thư điện tử, ghi chép, tin nhắn liên quan tới tình dục.</t>
  </si>
  <si>
    <t>- Quấy rối tình dục “trao đổi” (nhằm mục đích đánh đổi) diễn ra khi người sử dụng lao động, người giám sát, người quản lý hay đồng nghiệp thực hiện hay cố gắng thực hiện nhằm gây ảnh hưởng đến quy trình tuyển dụng, thăng chức, đào tạo, kỷ luật, sa thải, tăng lương hay các lợi ích khác của người lao động để đổi lấy sự thỏa thuận về tình dục.</t>
  </si>
  <si>
    <t>1. Bất kể Người lao động hay bất cứ người nào khác làm việc cho công ty tin rằng mình đang là nạn nhân bị quấy rối tình dục phải ngay lập tức báo cho P.HCNS. Công ty sẽ không dung thứ đối với hành động trả thù người đã khiếu nại/ tố cáo về hành vi quấy rối tình dục. Công ty sẽ tiến hành các bước cần thiết để đảm bảo rằng vấn đề này được điều tra, xác minh triệt để và giải quyết nhanh chóng. Nếu lời tố cáo được xác định là có căn cứ rõ ràng, Công ty sẽ thực hiện các biện pháp tức thì và hiệu quả để chấm dứt hành vi không được mong muốn này. Công ty cam kết sẽ hành động nếu Công ty nhận thấy có thể có tình trạng quấy rối tình dục tại nơi làm việc, ngay cả khi không có đơn khiếu nại/ tố cáo chính thức.</t>
  </si>
  <si>
    <t>2. P.HCNS là đầu mối liên lạc chính khi có câu hỏi hay quan tâm về vấn đề quấy rối tình dục. P.HCNS có trách nhiệm điều tra, xác minh hoặc giám sát điều tra, xác minh về hành vi được cho là quấy rối tình dục. Công ty cam kết đảm bảo rằng tất cả điều tra, xác minh về quấy rối tình dục được thực hiện nhanh chóng, toàn diện, chính xác và công bằng.</t>
  </si>
  <si>
    <t>3. Nếu người quản lý và người có liên quan khác có chứng kiến, được thông báo, hoặc có lý do hợp lý nghi ngờ xảy ra quấy rối tình dục, phải ngay lập tức báo cáo sự việc cho P.HCNS để bắt đầu tiến hành một cuộc điều tra, xác minh nhanh. Nếu không báo cáo sự việc cho P.HCNS người đó sẽ bị xem là vi phạm quy định này và có thể bị kỷ luật. P.HCNS sẽ hướng dẫn khi cần thiết về quá trình điều tra, xác minh và xử lý hành vi bị cho là quấy rối. Người quản lý cần có biện pháp hiệu quả đảm bảo không có thêm hành vi quấy rối rõ ràng hoặc bị cho là quấy rối diễn ra trong quá trình điều tra, xác minh.</t>
  </si>
  <si>
    <t>4. Công ty sẽ bảo vệ thông tin về nhân thân của người được cho là nạn nhân và người bị cho là thực hiện hành vi quấy rối, nếu cần thiết. Công ty sẽ tiến hành các bước cần thiết để bảo vệ người đã thiện chí báo cáo sự việc và đảm bảo rằng việc đó sẽ không bị trả thù. Hành động trả thù một người đã báo cáo về hành vi có khả năng là quấy rối tình dục là vi phạm quy định của doanh nghiệp và pháp luật Nhà nước, đồng thời người có hành động trả thù sẽ có thể phải chịu hình thức xử lý, kỷ luật thích đáng.</t>
  </si>
  <si>
    <t>5. Nếu Công ty nhận thấy CBNV nào ép buộc một CBNV khác chịu hành vi quấy rối có tính chất tình dục không được mong muốn, và hành vi đó đúng với khái niệm về quấy rối tình dục, bao gồm quấy rối tình dục “trao đổi” được nêu trên, người đó sẽ phải chịu kỷ luật hoặc các biện pháp xử lý thích hợp khác. Việc xử lý, kỷ luật được căn cứ vào tính chất, mức độ của hành vi vi phạm và được áp dụng các hình thức kỷ luật từ khiển trách tới sa thải.</t>
  </si>
  <si>
    <t>6. Thực hiện và giám sát việc thực hiện các quy định của pháp luật về phòng, chống quấy rối tình dục tại nơi làm việc;</t>
  </si>
  <si>
    <t>7. Tổ chức tuyên truyền, phổ biến giáo dục pháp luật và quy định về phòng, chống quấy rối tình dục tại nơi làm việc cho người lao động.</t>
  </si>
  <si>
    <t>1. Nếu CBNV cho rằng mình là mục tiêu của hành vi quấy rối tình dục, họ nên thông báo cho người bị cho là thực hiện hành vi quấy rối thông qua lời nói hoặc văn bản rằng hành vi đó là không được mong muốn, xúc phạm và phải dừng ngay.</t>
  </si>
  <si>
    <t>2. Nếu CBNV không muốn trao đổi trực tiếp với người bị cho là thực hiện hành vi quấy rối,</t>
  </si>
  <si>
    <t>hoặc nếu việc trao đổi đó không hiệu quả, Người lao động đó được khuyến khích báo cáo hành vi</t>
  </si>
  <si>
    <t>không mong muốn càng nhanh càng tốt cho P.HCNS.</t>
  </si>
  <si>
    <t>3. Ngoài việc báo cáo mối quan ngại về quấy rối tình dục cho P.HCNS, CBNV nào tin rằng mình đang bị quấy rối tình dục có thể lựa chọn theo đuổi cách giải quyết thông qua các kênh không chính thức gồm hòa giải, trung gian, trao đổi không chính thức hoặc đề nghị điều tra chính thức.</t>
  </si>
  <si>
    <t>4. Tất cả CBNV của Công ty không chỉ bao gồm Người lao động mà người giám sát, các cấp quản lý và BGĐ đều được yêu cầu phải tuân thủ quy định này. CBNV cũng cần cư xử đúng mực và phán xét thấu đáo các mối quan hệ liên quan tới công việc, với Người lao động đồng cấp, đồng nghiệp, hay các thành viên trong Công ty. Ngoài ra, tất cả CBNV cần thực hiện các biện pháp phù hợp phòng, chống quấy rối tình dục.</t>
  </si>
  <si>
    <t>1. Trình tự giải quyết tố cáo hành vi quấy rối tình dục</t>
  </si>
  <si>
    <t>a. Bước 1: Tiếp nhận, xử lý thông tin tố cáo</t>
  </si>
  <si>
    <t>- CBNV phát hiện, chứng kiến hoặc là mục tiêu của các hành vi được cho là quấy rối tình dục nơi làm việc phải có trách nhiệm báo cáo cho bộ phận nhân sự hoặc giám đốc công ty.</t>
  </si>
  <si>
    <t>- Khi xuất hiện khiếu nại, tố cáo về hành vi quấy rối tình dục tại nơi làm việc, Công ty phải kịp thời ngăn chặn, xử lý và có biện pháp bảo vệ bí mật, danh dự, uy tín, nhân phẩm, an toàn cho nạn nhân bị quấy rối tình dục, người khiếu nại, tố cáo và người bị khiếu nại, bị tố cáo.</t>
  </si>
  <si>
    <t>b. Bước 2: Xác minh, điều tra nội dung tố cáo</t>
  </si>
  <si>
    <t>Sau khi tiếp nhận thông tin, Công ty sẽ thành lập Ban hành động lâm thời để tìm hiểu, xác minh và điều tra vụ việc một cách nhanh chóng trên tinh thần trung lập. Công ty sẽ cân nhắc tính chất và mức độ nghiêm trọng của vụ việc để quyết định mời thêm các chuyên gia trong lĩnh vực liên quan tham gia.</t>
  </si>
  <si>
    <t>c. Bước 3: Kết luận nội dung tố cáo</t>
  </si>
  <si>
    <t>Nếu lời tố cáo được xác định là có căn cứ rõ ràng, Công ty sẽ đưa ra kết luận về nội dung tố cáo, thực hiện các biện pháp nhanh chóng và hiệu quả để chấm dứt hành vi không được mong muốn này, đồng thời áp dụng các biện pháp kỷ luật theo quy định của Công ty.</t>
  </si>
  <si>
    <t>d. Bước 4: Xử lý tố cáo của người giải quyết tố cáo</t>
  </si>
  <si>
    <t>Khi giải quyết vụ việc, tùy vào tính chất của vụ việc và mong muốn của các bên liên quan, Công ty có thể sử dụng hai kênh:</t>
  </si>
  <si>
    <t>- Kênh phi chính thức: Bao gồm hòa giải trực tiếp và hoà giải qua trung gian.</t>
  </si>
  <si>
    <t>- Kênh chính thức: Điều tra toàn diện và đầy đủ.</t>
  </si>
  <si>
    <t>- Trong suốt quá trình khiếu nại, tố cáo và xử lý vụ việc, Công ty tuân thủ nguyên tắc bảo mật thông tin, danh tính cho nạn nhân các bên liên quan và bảo vệ nạn nhân, người khiếu nại, hỗ trợ quá trình điều tra không bị trả thù.</t>
  </si>
  <si>
    <t>e. Bước 5: Công khai kết luận nội dung tố cáo, quyết định xử lý hành vi vi phạm quấy rối tình dục</t>
  </si>
  <si>
    <t>Sau khi có kết quả nội dung tố cáo, Công ty phải công khai kết luận nội dung tố cáo và quyết định xử lý vi phạm hành vi quấy rối tính dục. Nguyên tắc, trình tự xử lý kỷ luật hành vi quấy rối tính dục được ban hành tại Điều 42 của Nội quy này.</t>
  </si>
  <si>
    <t>2. Hình thức tố cáo: Được thực hiện bằng đơn tố cáo hoặc tố cáo trực tiếp.</t>
  </si>
  <si>
    <t>3. Thời hạn giải quyết khiếu nại, tố cáo hành vi quấy rối tình dục</t>
  </si>
  <si>
    <t>Thời hạn giải quyết khiếu nại, tố cáo hành vi quấy rối tình dục không quá 10 ngày làm việc kể từ ngày tiếp nhận tố cáo hành vi quấy rối tình dục và pải đảm bảo các nguyên tắc:</t>
  </si>
  <si>
    <t>- Nhanh chóng, kịp thời.</t>
  </si>
  <si>
    <t>- Bảo vệ bí mật, danh dự, uy tín, nhân phẩm, an toàn cho nạn nhân bị quấy rối tình dục, người khiếu nại, tố cáo và người bị khiếu nại, bị tố cáo.</t>
  </si>
  <si>
    <t>4. Hình thức xử lý kỷ luật lao động đối với người thực hiện hành vi quấy rối tình dục hoặc người tố cáo sai sự thật</t>
  </si>
  <si>
    <t>Căn cứ vào từng mức độ của hành vi quấy rối tình dục, Công ty sẽ áp dụng các hình thức xử lý kỷ luật theo quy định của Pháp luật bao gồm một trong số hoặc cùng lúc nhiều hình thức sau:</t>
  </si>
  <si>
    <t>- Khiển trách.</t>
  </si>
  <si>
    <t>- Kéo dài thời hạn nâng lương không quá 06 tháng.</t>
  </si>
  <si>
    <t>- Cách chức.</t>
  </si>
  <si>
    <t>- Sa thải.</t>
  </si>
  <si>
    <t>Hình thức xử lý kỷ luật cho từng mức độ của hành vi quấy rối tình dục được quy định cụ thể tại Điều 44, 45, 46, 47 Chương X: Xử lý kỷ luật lao động của Nội quy này.</t>
  </si>
  <si>
    <t>1. Nếu nạn nhân bị quấy rối tình dục phải chịu tổn thương như bị hạ chức hay bị từ chối thăng chức, do hậu quả của hành vi quấy rối, thì người đó sẽ được xem xét phục hồi chức vụ hoặc xem xét bổ nhiệm, bồi thường một cách tương xứng. Đồng thời họ có thể được bồi thường cho những tổn thất về tài chính do bị từ chối về các lợi ích liên quan tới công việc mà họ có quyền được hưởng.</t>
  </si>
  <si>
    <t>2. Những người không thuộc nhân sự của doanh nghiệp, như khách hàng hay đối tác cũng nên được thông báo rằng nếu họ bị khiếu nại/ tố cáo và khiếu nại/tố cáo đó được xác định là đúng sự thật, thì điều này có thể dẫn tới chấm dứt hợp đồng, tạm ngừng dịch vụ hoặc hợp tác trong sản xuất - kinh doanh.</t>
  </si>
  <si>
    <t>CHƯƠNG VIII</t>
  </si>
  <si>
    <t>QUY ĐỊNH VỀ SỬ DỤNG VÀ BẢO VỆ TÀI SẢN, TRAO ĐỔI VÀ BẢO MẬT THÔNG TIN</t>
  </si>
  <si>
    <t>Tài sản của Công ty bao gồm: Văn Phòng làm việc, hàng hoá trong kho hoặc trưng bày bán, trang thiết bị văn phòng, máy móc, phương tiện, điều hòa, điện thoại… được trang bị để làm việc và các tài sản khác theo quy định của Pháp luật Việt Nam.</t>
  </si>
  <si>
    <t>Tài sản của Công ty bao gồm tài sản vô hình và tài sản hữu hình, bao gồm:</t>
  </si>
  <si>
    <t>1. Nhà xưởng, văn phòng, vật kiến trúc và các tài sản gắn liền với đất, phương tiện vận tải, máy móc, trang thiết bị, và các tài sản hữu hình khác.</t>
  </si>
  <si>
    <t>2. Quyền sử dụng đất và sở hữu nhà xưởng, văn phòng, giá trị thương hiệu, chuyển giao công nghệ, quyền tác giả, quyền sở hữu trí tuệ và các tài sản vô hình khác.</t>
  </si>
  <si>
    <t>Bí mật công nghệ, bí mật kinh doanh của Công ty bao gồm: Thông tin thu được từ hoạt động đầu tư tài chính, trí tuệ, chưa được bộc lộ và có khả năng sử dụng trong kinh doanh hoặc các kết quả nghiên cứu về bí quyết sản xuất, bí quyết nghiệp vụ, phương thức hoạt động và quản lý của Công ty. Đây được xem là yếu tố vô cùng quan trọng ảnh hưởng đến hoạt động kinh doanh của một doanh nghiệp.</t>
  </si>
  <si>
    <t>Bí mật công nghệ, bí mật kinh doanh bao gồm:</t>
  </si>
  <si>
    <t>1. Thông tin liên quan đến một công thức, mẫu hàng, thiết bị, tập hợp các loại thông tin khác mà được sử dụng trong hoạt động sản xuất và kinh doanh của Công ty.</t>
  </si>
  <si>
    <t>2. Thông tin kỹ thuật may mặc dùng trong quá trình sản xuất hàng hoá của Công ty.</t>
  </si>
  <si>
    <t>3. Chiến lược tiếp thị, marketing, bản vẽ thiết kế, chiến lược xuất khẩu hoặc bán hàng, phương pháp lưu trữ tài liệu, các quy trình và thủ tục quản lý kinh doanh, phần mềm dùng cho các hoạt động kinh doanh của Công ty.</t>
  </si>
  <si>
    <t>4. Các thông tin khác: Kế hoạch kinh doanh, quy trình kinh doanh, danh sách khách hàng, danh sách nhà cung cấp đáng tin cậy hoặc nhà cung cấp đặc biệt, bản mô tả đặc điểm kỹ thuật của sản phẩm, tính năng của sản phẩm, giá mua nguyên vật liệu thô, dữ liệu thử nghiệm, hình vẽ thiết kế hoặc hình vẽ phác thảo kỹ thuật, thông số kỹ thuật chế tạo, cơ cấu tiền lương của công ty, giá sản phẩm và mức chi cho hoạt động quảng cáo, mã nguồn, mã máy, cơ sở dữ liệu và tập hợp dữ liệu điện tử, hợp đồng chứa các chi tiết về ràng buộc thị trường, tài liệu quảng cáo hay tiếp thị đang được xây dựng.</t>
  </si>
  <si>
    <t>Bí mật thông tin nội bộ của Công ty bao gồm:</t>
  </si>
  <si>
    <t>- Ý kiến, văn bản chỉ đạo, tin, số liệu, tài liệu và các dự thảo văn bản liên quan đến hoạt động nội bộ do Công ty chủ trì soạn thảo chưa được công bố.</t>
  </si>
  <si>
    <t>- Tài liệu quy hoạch và hồ sơ cán bộ nguồn thuộc danh mục không được công khai; tài liệu phục vụ nhiệm vụ bảo vệ chính trị nội bộ.</t>
  </si>
  <si>
    <t>- Tài liệu thiết kế, thông số kỹ thuật, các quy ước đảm bảo an toàn mạng thông tin, máy tính có chứa dữ liệu nghiệp vụ chuyên môn của cơ quan, doanh nghiệp.</t>
  </si>
  <si>
    <t>- Hồ sơ, tài liệu liên quan đến công tác nghiên cứu, triển khai khoa học kỹ thuật.</t>
  </si>
  <si>
    <t>- Hồ sơ góp vốn liên doanh, liên kết hoặc góp vốn các Công ty con nếu có.</t>
  </si>
  <si>
    <t>- Sổ đăng ký cổ đông góp vốn; Báo cáo quyết toán trình Hội đồng quản trị; Biên bản họp Đại hội cổ đông/ họp Hội đồng quản trị/ họp Chiến lược cấp Quản lý hàng năm.</t>
  </si>
  <si>
    <t>- Điều lệ Công ty; Các báo tài chính hàng năm; Các hợp đồng kinh tế do Công ty ký kết với các đối tác trong hoạt động kinh doanh, đầu tư; Hồ sơ khách hàng của Công ty; Các chứng từ kế toán, sổ kế toán chi tiết, sổ cái, biên bản quyết toán thuế hàng năm; Hồ sơ, lý lịch, hợp đồng lao động của CBNV.</t>
  </si>
  <si>
    <t>- Tài liệu mật do các cơ quan, tổ chức khác chuyển đến.</t>
  </si>
  <si>
    <t>1. Quyền của CBNV</t>
  </si>
  <si>
    <t>a. CBNV có quyền đề xuất được cấp phát tài sản, trang thiết bị làm việc phù hợp với yêu cầu vị trí đặc thù để đảm bảo đủ điều kiện làm việc tốt nhất.</t>
  </si>
  <si>
    <t>b. Khi được bàn giao tài sản, trang thiết bị làm việc, CBNV có quyền sử dụng và khai thác tối ưu tính năng của tài sản, trang thiết bị để phục vụ cho công việc hàng ngày.</t>
  </si>
  <si>
    <t>c. Trong suốt quá trình làm việc, CBNV có quyền từ chối các cá nhân khác mượn sử dụng hoặc chiếm hữu tài sản, trang thiết bị đã được Công ty bàn giao nếu không có lý do chính đáng, trừ trường hợp có sự chỉ đạo từ BGĐ Công ty trong các trường hợp bất khả kháng.</t>
  </si>
  <si>
    <t>d. CBNV có quyền được cung cấp thông tin bí mật công nghệ, bí mật kinh doanh, bí mật thông tin nội bộ của Công ty trong phạm vi công việc yêu cầu để thực hiện nhiệm vụ. Khi được cung cấp thông tin hoặc tài liệu bí mật, CBNV phải có trách nhiệm sử dụng vào đúng mục đích, đúng nhiệm vụ được giao và cam kết bảo mật trước Công ty.</t>
  </si>
  <si>
    <t>2. Trách nhiệm bảo vệ tài sản và bảo mật thông tin của CBNV</t>
  </si>
  <si>
    <t>a. CBNV phải có trách nhiệm giữ gìn, kiểm tra định kỳ, bảo quản và sử dụng có hiệu quả các tài sản của Công ty. CBNV được giao quản lý, sử dụng tài sản phải có trách nhiệm bảo quản và sử dụng đúng mục đích, tiết kiệm và không được sử dụng tài sản của Công ty vào mục đích riêng. Khi không tiếp tục bảo quản, sử dụng tài sản, phải làm thủ tục bàn giao lại theo đúng quy định của quy định của Công ty.</t>
  </si>
  <si>
    <t>b. Khi phương tiện làm việc vì bất kỳ lí do gì bị lỗi, hỏng hóc, CBNV không được tự ý sửa chữa mà phải báo ngay về Phòng HCNS ghi nhận sự việc và phối hợp xử lý.</t>
  </si>
  <si>
    <t>c. Các hành vi tham ô, trộm cắp, làm thất thoát, lãng phí, sử dụng sai nguyên tắc đối với tài sản hoặc có hành vi bao che, tiếp tay cho người khác xâm phạm tài sản của Công ty đều bị xử lý nghiêm khắc theo Pháp luật.</t>
  </si>
  <si>
    <t>d. Phát sinh tình huống bất khả kháng, CBNV/ BP có nhu cầu mượn tài sản của CBNV/ BP khác để thực hiện nhiệm vụ ưu tiên của Công ty giao thì hai bên phải lập biên bản giao-nhận ngay tại thời điểm mượn và trả. Trên biên bản giao-nhận, hai bên thực hiện nghiệm thu về phần hình bên ngoài của tài sản và một số lưu ý cần thiết khi sử dụng hiệu quả tài sản. Tất cả việc mượn tài sản của Công ty đều phải thông qua NV phụ trách quản lý cấp phát tài sản thuộc P.HCNS xác nhận.</t>
  </si>
  <si>
    <t>e. CBNV không được tự ý bàn giao tài sản được Công ty cấp cho CBNV/ BP khác mượn để sử dụng với bất kỳ lý do nào. Trường hợp CBNV tự ý cho mượn tài sản mà P.HCNS phát hiện ra sẽ lập Biên bản xử lý hành chính vi phạm và người cho mượn phải chịu hoàn toàn các tổn thất liên quan đến tài sản nếu có.</t>
  </si>
  <si>
    <t>f. Kết thúc giờ làm việc, trước khi ra về, mỗi CBNV có trách nhiệm cất giữ tài sản được bàn giao đúng nơi đúng chỗ quy định của cá nhân/ BP.</t>
  </si>
  <si>
    <t>3. Trách nhiệm bảo mật thông tin</t>
  </si>
  <si>
    <t>a. CBNV phải có trách nhiệm bảo vệ lợi ích chung của Công ty, bảo vệ bí mật công nghệ, bí mật kinh doanh và bí mật thông tin nội bộ. CBNV tuyệt đối không được mang ra khỏi Công ty, trao đổi, bán, cho mượn, cho thuê, tiết lộ, chế biến lại dưới bất kỳ hình thức nào các tài sản và bí mật của Công ty trên đây mà không được sự đồng ý bằng văn bản của BGĐ hoặc người được ủy quyền.</t>
  </si>
  <si>
    <t>b. CBNV không được sử dụng những thông tin có được trong quá trình thực hiện dịch vụ cho khách hàng vào những việc bất lợi cho khách hàng và đối với Công ty hoặc sử dụng vào mục đích tư lợi riêng.</t>
  </si>
  <si>
    <t>c. CBNV tuân thủ Quy định bảo mật thông tin của Công ty theo quy định của Công ty.</t>
  </si>
  <si>
    <t>d. Nghiêm cấm sao chép và chia sẻ tất cả các tài liệu của Công ty dưới mọi hình thức khi chưa được sự đồng ý của QLTT Bộ phận.</t>
  </si>
  <si>
    <t>e. Quản lý các thông tin của khách hàng, đối tác một cách an toàn và sử dụng hợp lý.</t>
  </si>
  <si>
    <t>f. Các vấn đề nội bộ của Phòng, Công ty không được phép thông tin giữa các bộ phận cũng như không được phép công bố ra ngoài.</t>
  </si>
  <si>
    <t>g. Khi phát hành, sao chụp, fax, gửi email, lưu hồ sơ và tài liệu hủy bỏ liên quan đến các thông tin mật của Công ty, CBNV cần phải thực hiện đầy đủ các bước bảo mật cần thiết để đảm bảo người không phận sự không tiếp cận được các thông tin cần được bảo mật. CBNV không được thảo luận các vấn đề nhạy cảm, các thông tin mật với người không liên quan và khi chưa được phép.</t>
  </si>
  <si>
    <t>h. Khi đi công tác chỉ được mang những tài liệu cần thiết để làm việc, nếu phải mang những tài liệu bảo mật ra ngoài phải báo cáo Lãnh đạo Công ty biết và phải được sự đồng ý. Nếu để mất mát, hư hỏng hoặc để lộ thông tin ra ngoài thì phải chịu trách nhiệm và bị xử lý kỷ luật theo quy định hiện hành của Công ty và của Nhà nước.</t>
  </si>
  <si>
    <t>i. Những trường hợp được tiết lộ thông tin:</t>
  </si>
  <si>
    <t>- Việc tiết lộ là nghĩa vụ bắt buộc theo quy định của Pháp luật.</t>
  </si>
  <si>
    <t>- Cấp trên trực tiếp được tiết lộ Thông tin mật cho CBNV thuộc quyền quản lý của mình liên quan trực tiếp đến công việc được giao cho CBNV đó.</t>
  </si>
  <si>
    <t>1. Khi gửi email, người gửi phải ghi rõ mục đích gửi thư và nội dung cần xin ý kiến một cách ngắn gọn vào tiêu đề email.</t>
  </si>
  <si>
    <t>a. Văn phong gửi email:</t>
  </si>
  <si>
    <t>- Văn phong sử dụng trong email phải phù hợp, nghiêm túc, lịch sự, tránh dùng từ địa phương.</t>
  </si>
  <si>
    <t>- Khi viết email, tùy từng trường hợp để xưng hô cho phù hợp.</t>
  </si>
  <si>
    <t>- Nội dung thư phải ngắn ngọn, rõ ràng, trực tiếp vào vấn đề.</t>
  </si>
  <si>
    <t>b. Các yêu cầu/ thông tin trao đổi chỉ được gửi cho những người có liên quan đến nội dung thông tin trao đổi. Gửi đến (“To”) cho những người có liên quan trực tiếp có trách nhiệm xử lý yêu cầu/ thông tin và gửi “cc” cho những người có liên quan gián tiếp để theo dõi, phối hợp (như QLTT Bộ phận của người gửi email, QLTT liên quan đến công việc trao đổi qua email).</t>
  </si>
  <si>
    <t>2. Khi gửi email cho từ 02 người trở lên:</t>
  </si>
  <si>
    <t>a. Người gửi nên nêu rõ mục đích gửi cho từng người (nếu khác mục đích mong muốn xử lý công việc).</t>
  </si>
  <si>
    <t>b. Nếu email được gửi đến đồng thời cho nhiều người với cùng một mục đích (Ví dụ: Để xin ý kiến đóng góp, để phối hợp thực hiện), người gửi có thể ghi chung mục đích gửi đến nhóm người nhận mà không cần ghi tách riêng mục đích gửi cho từng người nhận email.</t>
  </si>
  <si>
    <t>c. Tuyệt đối cấm việc gửi email với mục đích để tham khảo hoặc để báo thông tin khi người nhận không có trách nhiệm xử lý, hoặc theo dõi, phối hợp đối với nội dung công việc được trao đổi.</t>
  </si>
  <si>
    <t>d. Trường hợp việc trao đổi thông tin được thực hiện liên tục trong một số email, người gửi có thể không cần ghi lại mục đích gửi.</t>
  </si>
  <si>
    <t>3. Tuyệt đối không được chuyển các thông tin trao đổi nội bộ ở dạng “forward” cho đối tác/ khách hàng. Tất cả các email gửi cho khách hàng/ đối tác nếu sử dụng nguồn là các thông tin trao đổi nội bộ đều phải được kiểm tra, cân nhắc kỹ lưỡng về nội dung trước khi gửi và có ủy quyền của QLTT Bộ phận.</t>
  </si>
  <si>
    <t>4. Khi gửi email chung cho nhiều khách hàng/ đối tác, bắt buộc phải gửi theo hình thức “bcc”, tuyệt đối không được gửi theo hình thức “to” và/ hoặc “cc” để đảm bảo các nguyên tắc bảo mật thông tin khách hàng.</t>
  </si>
  <si>
    <t>5. Khi gửi email xin ý kiến/ báo cáo QLTT hoặc xin ý kiến của Bộ phận khác, người gửi phải nêu rõ tình hình sự việc và nội dung cần xin ý kiến. Trường hợp đã có nhiều email trao đổi trước đó, người gửi phải tóm tắt nội dung trao đổi giữa các bên một cách rõ ràng, đủ ý; tuyệt đối không gửi báo cáo/ yêu cầu ở dạng “forward” các email đã trao đổi và yêu cầu người nhận phải tự đọc và tổng hợp thông tin.</t>
  </si>
  <si>
    <t>6. Khi xử lý một việc khác, cần viết một email mới, tuyệt đối không reply email cũ cho một vấn đề mới.</t>
  </si>
  <si>
    <t>7. Nếu CBNV gửi email có file đính kèm thì tên file đính kèm phải được đặt bằng chữ không dấu nhằm tránh việc đặt tên có dấu hay bị lỗi file.</t>
  </si>
  <si>
    <t>8. Khi gửi email có file đính kèm, phải ghi rõ “Anh/ chị vui lòng xem file đính kèm” để người nhận lưu ý là thư này có file đính kèm.</t>
  </si>
  <si>
    <t>9. CBNV sử dụng email Công ty cấp để trao đổi công việc, không sử dụng cho các việc riêng và tuyệt đối không dùng địa chỉ email cá nhân cho công việc, trừ một số trường hợp khẩn cấp hoặc email Công ty bị lỗi.</t>
  </si>
  <si>
    <t>10. Sử dụng chữ ký trong email Công ty theo hệ thống nhận diện thương hiệu của Công ty để đảm bảo tính đồng nhất.</t>
  </si>
  <si>
    <t>1. Chỉ được sử dụng điện thoại Công ty cho mục đích công việc, không được sử dụng cho mục đích cá nhân.</t>
  </si>
  <si>
    <t>2. Khi trao đổi công việc qua điện thoại sử dụng âm lượng vừa đủ, không nói quá to và quá dài làm ảnh hưởng đến công việc của CBNV khác.</t>
  </si>
  <si>
    <t>3. CBNV cần báo trước cho QLTT của mình nếu có thể mất liên lạc bằng điện thoại di động trong một thời gian liên tục từ 01 ngày trở lên.</t>
  </si>
  <si>
    <t>1. Nguyên tắc tham gia cuộc họp</t>
  </si>
  <si>
    <t>a. Trước khi đi họp phải chuẩn bị nội dung liên quan đến cuộc họp (nếu có).</t>
  </si>
  <si>
    <t>b. Tuân thủ nguyên tắc các cuộc họp do Chủ trì cuộc họp đưa ra.</t>
  </si>
  <si>
    <t>c. Tôn trọng Chủ trì cuộc họp.</t>
  </si>
  <si>
    <t>d. Không ngắt lời, tranh lời người khác.</t>
  </si>
  <si>
    <t>e. Ý kiến ngắn gọn về nội dung liên quan đến lĩnh vực của mình/ Bộ phận mình, phát biểu tích cực, hướng tới giải pháp, tránh lan man.</t>
  </si>
  <si>
    <t>f. Luôn mang sổ và bút để ghi chép.</t>
  </si>
  <si>
    <t>2. CBNV đi họp đầy đủ, đúng giờ theo thông báo. Trường hợp không thể tham gia cần xin phép QLTT Bộ phận và thông báo cho người chủ trì cuộc họp thông qua Bộ phận/ người được phân công tổ chức cuộc họp.</t>
  </si>
  <si>
    <t>3. Điện thoại cá nhân phải được chuyển sang chế độ không đổ chuông trong suốt thời gian họp, dự hội thảo.</t>
  </si>
  <si>
    <t>4. CBNV cần nghiêm túc khi tham gia hội, họp. Không làm việc riêng, không ngủ gật, không sử dụng điện thoại nếu không phải việc gấp, hoặc có thể sử dụng điện thoại để trao đổi các công việc gấp nhưng đảm bảo không làm ảnh hưởng đến cuộc họp.</t>
  </si>
  <si>
    <t>5. Trao đổi thông tin trong các sự việc yêu cầu có sự phối hợp với nhiều Bộ phận: QLTT cao nhất hoặc nhóm QLTT có liên quan phải cử người chịu trách nhiệm cuối cùng làm đầu mối trong việc giải quyết vấn đề. Người này có trách nhiệm tổng hợp thông tin (đóng vai trò đầu mối thông tin); báo cáo cho QLTT cấp trên (nếu cần thiết); theo dõi tiến trình thực hiện và chịu trách nhiệm cuối cùng về kết quả thực hiện công việc (trừ khi có những chỉ đạo khác từ phía QLTT cấp trên).</t>
  </si>
  <si>
    <t>Tất cả các thiết bị máy móc đặc thù của Công ty khi CBNV mới bắt đầu sử dụng cần có sự bàn giao và hướng dẫn của P.HCNS, nếu chưa được bàn giao và hướng dẫn tự ý sử dụng gây hỏng hóc, tai nạn trong quá trình sử dụng… CBNV đó phải tự chịu trách nhiệm.</t>
  </si>
  <si>
    <t>1. Sử dụng máy in, scan, máy phô tô</t>
  </si>
  <si>
    <t>a. CBNV khi sử dụng máy in, scan, máy phô tô phải có trách nhiệm duy trì, bảo quản và thông báo về P.HCNS nếu xảy ra sự cố.</t>
  </si>
  <si>
    <t>b. Sử dụng máy vi tính</t>
  </si>
  <si>
    <t>- Nghiêm cấm chơi các trò chơi giải trí trên máy vi tính và vào những trang web không vì mục đích phục vụ công việc Công ty trong giờ làm việc.</t>
  </si>
  <si>
    <t>- Lưu trữ tài liệu của Công ty để phục vụ công việc một cách khoa học, đối với những tài liệu quan trọng, cần phải có khóa bảo vệ.</t>
  </si>
  <si>
    <t>- Không sử dụng máy tính để lưu trữ và phát tán những bài viết, hình ảnh vi phạm thuần phong, mỹ tục, khủng bố, tấn công người khác, chống phá chính quyền, tiết lộ các thông tin mật của Công ty.</t>
  </si>
  <si>
    <t>CHƯƠNG IX</t>
  </si>
  <si>
    <t>QUY ĐỊNH VỀ AN TOÀN LAO ĐỘNG, PHÒNG CHỐNG CHÁY NỔ VÀ VỆ SINH LAO ĐỘNG</t>
  </si>
  <si>
    <t>Điều 39. An toàn lao động, phòng chống cháy nổ và tiết kiệm tại nơi làm việc</t>
  </si>
  <si>
    <t>1. An toàn lao động, giữ gìn vệ sinh mỹ quan chung và tiết kiệm tại nơi làm việc</t>
  </si>
  <si>
    <t>a. Toàn bộ CBNV phải nghiêm túc tuân thủ các quy định, tiêu chuần về an toàn lao động, Phòng chống cháy nổ tại nơi làm việc có liên quan đến công việc, nhiệm vụ được giao.</t>
  </si>
  <si>
    <t>b. Mỗi CBNV phải có trách nhiệm sắp xếp nơi làm việc và lưu trữ tài liệu tại nơi làm việc gọn gàng, ngăn nắp; Tuân thủ 5S; Vệ sinh, khử độc, khử trùng tại nơi làm việc; Đảm bảo mỹ quan nơi làm việc sạch đẹp, khoa học, đúng quy định.</t>
  </si>
  <si>
    <t>c. CBNV có quyền từ chối hoặc rời bỏ nơi làm việc khi thấy rõ có nguy cơ xảy ra tai nạn lao động, đe dọa tính mạng hoặc sức khỏe của bản thân hoặc cho những người khác cho đến khi sự cố được khắc phục.</t>
  </si>
  <si>
    <t>d. CBNV phải báo cáo kịp thời với cấp quản lý, bảo vệ hoặc bất kỳ ai có mặt khi phát hiện nguy cơ gây tai nạn lao động, cháy nổ.</t>
  </si>
  <si>
    <t>e. Nghiêm cấm mang vũ khí, hàng cấm, chất gây nổ, chất gây cháy vào Công ty.</t>
  </si>
  <si>
    <t>2. Phòng chống cháy nổ</t>
  </si>
  <si>
    <t>a. Phòng chống cháy nổ là trách nhiệm của mọi CBNV kể cả khách hàng/ đối tác đến làm việc tại Công ty để đảm bảo sự an toàn tài sản cũng như tính mạng của tất cả mọi người trong Công ty.</t>
  </si>
  <si>
    <t>b. Cấm: Sử dụng lửa, củi đun nấu nơi làm việc; hút thuốc sai khu vực cho phép; dùng dây đồng, dây bạc thay cầu chì; dùng dây điện cắm trực tiếp vào ổ cắm điện; để các chất dễ cháy gần cầu chì, bảng điện và trên dây dẫn điện.</t>
  </si>
  <si>
    <t>c. Sắp xếp trật tự vật tư, hàng hóa trong kho/ khu vực sản xuất gọn gàng, sạch sẽ, khoa học. Xếp riêng từng loại có khoảng cách ngăn cháy, xa mái nhà, xa tường để tiện việc kiểm tra hàng hóa và cứu chữa khi cần thiết. Khi sử dụng xăng/ dầu công nghiệp, hóa chất phải thật cẩn thận, tuân thủ hướng dẫn sử dụng.</t>
  </si>
  <si>
    <t>d. Không để các chướng ngại vật trên lối đi lại, làm cản trở di chuyển nội bộ hoặc gây khó khăn trong quá trình cứu chữa khi cần thiết.</t>
  </si>
  <si>
    <t>3. Sử dụng điện</t>
  </si>
  <si>
    <t>Mỗi CBNV phải có tinh thần trách nhiệm sử dụng tiết kiệm điện, hiệu quả, đúng mục đích, tắt bớt các thiết bị sử dụng khi không cần thiết, cụ thể:</t>
  </si>
  <si>
    <t>- Trước khi về, tắt toàn bộ thiết bị điện làm việc cá nhân như máy tính, máy may, máy cắt,… đồng thời, tắt điện chiếu sáng vị trí mình làm việc nếu điều đó không làm ảnh hưởng người ở lại.</t>
  </si>
  <si>
    <t>- CBNV về sau cùng có trách nhiệm tắt toàn bộ thiết bị điện chung như cây nước nóng lạnh, máy in, điều hòa, tivi, điện phòng,… khóa cửa phòng và dập cầu dao điện tổng tầng làm việc, nhưng không bao gồm cầu dao camera.</t>
  </si>
  <si>
    <t>- NV Bảo vệ có trách nhiệm tuần tra an ninh khung giờ sáng – chiều để kiểm tra tình hình thực hiện tiết kiệm điện theo quy định của CBNV tại các Phòng/ Ban/ Khu vực trong tòa nhà. Khi phát hiện các sai phạm, NV Bảo vệ lập biên bản, chụp ảnh minh chứng đính kèm và chuyển về P.HCNS xử lý phạt hành chính theo quy định.</t>
  </si>
  <si>
    <t>Nếu CBNV nào quên tắt các thiết bị điện dẫn đến hậu quả nghiêm trọng gây cháy nổ, thiệt hại đến tài sản/ con người thì chịu trách nhiệm trước Công ty và Pháp luật theo quy định.</t>
  </si>
  <si>
    <t>1. Đối tượng cần phải vệ sinh</t>
  </si>
  <si>
    <t>Tất cả các trang thiết bị của Công ty được sử dụng vào phục vụ quá trình làm việc đều phải được vệ sinh sạch sẽ. Tất cả CBNV phải thường xuyên vệ sinh sạch sẽ nơi làm việc, sắp xếp các công cụ làm việc gọn gàng và ngăn nắp, vứt rác đúng nơi quy định và không được khạc nhổ bừa bãi.</t>
  </si>
  <si>
    <t>2. Vệ sinh hàng ngày</t>
  </si>
  <si>
    <t>a. Vệ sinh định kỳ toàn Công ty: CBNV phải đảm bảo:</t>
  </si>
  <si>
    <t>- Làm sạch bụi bẩn trên toàn bộ trang thiết bị làm việc và khu vực làm việc cá nhân.</t>
  </si>
  <si>
    <t>- Sắp xếp, sàng lọc hồ sơ/ tài liệu theo quy định 5S để loại bỏ đồ không cần thiết và làm gọn gàng khoa học nơi làm việc.</t>
  </si>
  <si>
    <t>- Kiểm tra tủ hồ sơ chung, sắp xếp lưu trữ đúng quy định theo sơ đồ.</t>
  </si>
  <si>
    <t>- Đổ rác khi ra về.</t>
  </si>
  <si>
    <t>b. Vệ sinh, khử độc, khử trùng tại nơi làm việc: Công ty thực hiện các đợt phun khử độc, khử trùng phòng dịch bệnh sốt xuất huyết, các bệnh đường hô hấp,... hoặc phòng chống các đại dịch khi phát sinh theo kế hoạch cụ thể hàng năm.</t>
  </si>
  <si>
    <t>c. Giám đốc hoặc người được uỷ quyền có quyền yêu cầu cá nhân/ tập thể phải tiến hành công tác vệ sinh đột xuất khi thấy môi trường làm việc không sạch sẽ hoặc khi có sự kiện được tổ chức tại Công ty cần làm công tác chuẩn bị, thu dọn và vệ sinh.</t>
  </si>
  <si>
    <t>CHƯƠNG X</t>
  </si>
  <si>
    <t>XỬ LÝ KỶ LUẬT LAO ĐỘNG</t>
  </si>
  <si>
    <t>Hành vi vi phạm kỷ luật lao động là việc không thực hiện; thực hiện không đầy đủ hoặc thực hiện không đúng các quy định của Công ty và các quy định của Pháp luật.</t>
  </si>
  <si>
    <t>1. Khách quan, công bằng, nghiêm minh và kịp thời.</t>
  </si>
  <si>
    <t>2. Cấm mọi hành vi xâm phạm thân thể, danh dự, nhân phẩm của CBNV trong quá trình xem xét xử lý kỷ luật.</t>
  </si>
  <si>
    <t>3. CBNV được miễn kỷ luật lao động trong tình thế bất khả kháng trong khi thi hành nhiệm vụ và được cấp có thẩm quyền xác nhận.</t>
  </si>
  <si>
    <t>4. Mỗi hành vi vi phạm nội quy lao động chỉ bị xử lý một hình thức kỷ luật. Khi người lao động có nhiều hành vi vi phạm kỷ luật lao động đồng thời chỉ áp dụng hình thức kỷ luật cao nhất tương ứng với hành vi vi phạm nặng nhất.</t>
  </si>
  <si>
    <t>5. Đề cao tính tự giác khắc phục thiệt hại, người vi phạm biết ăn năn, hối cải thì được xem xét giảm nhẹ trách nhiệm.</t>
  </si>
  <si>
    <t>6. Không xử lý kỷ luật lao động đối với người vi phạm Nội quy lao động với người lao động đang trong các trường hợp:</t>
  </si>
  <si>
    <t>a. Nghỉ ốm đau, điều dưỡng.</t>
  </si>
  <si>
    <t>b. Đang bị tạm giữ, tạm giam.</t>
  </si>
  <si>
    <t>c. Người lao động bị mắc bệnh tâm thần hoặc bệnh khác làm mất khả năng nhận thức hay khả năng điều khiển hành vi của mình.</t>
  </si>
  <si>
    <t>1. Khiển trách.</t>
  </si>
  <si>
    <t>2. Kéo dài thời hạn nâng lương không quá 6 tháng.</t>
  </si>
  <si>
    <t>3. Cách chức.</t>
  </si>
  <si>
    <t>4. Sa thải.</t>
  </si>
  <si>
    <t>Điều 44. Các trường hợp kỷ luật bằng hình thức khiển trách</t>
  </si>
  <si>
    <t>1. Vi phạm về thời giờ làm việc, tác phong làm việc.</t>
  </si>
  <si>
    <t>a. Tự ý rời khỏi vị trí làm việc, đi muộn/ về sớm quá 30 phút, tự ý ra ngoài Công ty mà chưa được sự đồng ý của người quản lý trực tiếp hoặc không có lý do chính đáng.</t>
  </si>
  <si>
    <t>b. Ngủ trong giờ làm việc; Làm việc riêng trong giờ, chơi game hoặc tự ý làm những công việc khác ngoài công việc được giao.</t>
  </si>
  <si>
    <t>c. Không hoàn thành công việc được giao về số lượng và chất lượng do lỗi của CBNV.</t>
  </si>
  <si>
    <t>d. Tác phong, ăn mặc không đúng theo quy định của Công ty, không sử dụng đồng phục (đối với trường hợp Công ty yêu cầu), đeo thẻ Người lao động, sử dụng bảo hộ lao động không đúng quy định khi tới nơi làm việc.</t>
  </si>
  <si>
    <t>e. Có hành vi xúc phạm nhân phẩm, danh dự hoặc xâm phạm thân thể của đồng nghiệp, cấp quản lý và khách hàng trong quan hệ công việc (không phải là cố ý gây thương tích).</t>
  </si>
  <si>
    <t>f. Có hành động thể hiện sự không trung thực; thiếu tinh thần trách nhiệm trong công việc hoặc thiếu tinh thần hợp tác trong công việc với CBNV khác gây hậu quả không tốt cho uy tín và công việc kinh doanh của Công ty như: Thông tin phản hồi sai lệch khiến trì trệ sản xuất – kinh doanh, gián tiếp làm chậm tiến độ hoàn thành hợp đồng đã ký kết; Được đối tác/ khách hàng phản hồi về chất lượng dịch vụ của CBNV không đạt yêu cầu mà Công ty đã cam kết.</t>
  </si>
  <si>
    <t>2. Vi phạm trật tự tại nơi làm việc</t>
  </si>
  <si>
    <t>a. Tụ tập, gây mất trật tự, tán gẫu trong giờ làm việc.</t>
  </si>
  <si>
    <t>b. Nói tục, có hành vi lời nói thiếu văn hóa với đồng nghiệp trong thời gian làm việc tại Công ty.</t>
  </si>
  <si>
    <t>c. Hút thuốc trong khu vực làm việc, ăn sáng trong giờ làm việc.</t>
  </si>
  <si>
    <t>d. Đưa người lạ, người không có trách nhiệm vào khu vực làm việc mà chưa được sự đồng ý của người có thẩm quyền.</t>
  </si>
  <si>
    <t>3. Vi phạm về an toàn, vệ sinh lao động, sử dụng các phương tiện làm việc</t>
  </si>
  <si>
    <t>a. Không tuân thủ hoặc từ chối thực hiện các quy định của Công ty về an toàn, vệ sinh lao động, thực hiện tiết kiệm khi sử dụng các trang thiết bị văn phòng, đồ dùng tại nơi làm việc.</t>
  </si>
  <si>
    <t>b. Sử dụng các chương trình, phần mềm trên máy tính không phục vụ cho hoạt động công việc.</t>
  </si>
  <si>
    <t>4. Vi phạm về bảo mật và bảo vệ tài sản</t>
  </si>
  <si>
    <t>a. CBNV tự ý mang tài sản, tài liệu của Công ty ra khỏi Công ty mà chưa được sự đồng ý của người có thẩm quyền hoặc được sự đồng ý của người có thẩm quyền nhưng không đăng ký với bảo vệ.</t>
  </si>
  <si>
    <t>b. Sử dụng tài sản của Công ty vào mục đích cá nhân nhưng không làm mất mát, hao hụt, thiệt hại về tài sản của Công ty.</t>
  </si>
  <si>
    <t>5. Sử dụng tài sản Công ty vào mục đích riêng không phục vụ cho công việc của Công ty gây ra thiệt hại về tài sản của công ty dưới 5.000.000đ (năm triệu đồng).</t>
  </si>
  <si>
    <t>6. Vi phạm khác</t>
  </si>
  <si>
    <t>a. Cố tình tố cáo, tung tin đồn sai sự thật làm ảnh hưởng đến uy tín đồng nghiệp, uy tín tập thể, uy tín của Công ty.</t>
  </si>
  <si>
    <t>b. Gây mất đoàn kết nội bộ trong Công ty hoặc lôi kéo, gây bè, kết phái, kích động người khác gây mất đoàn kết nội bộ trong Công ty.</t>
  </si>
  <si>
    <t>c. Chống đối, cản trở người có chức năng bảo vệ, quản lý tài sản của Công ty.</t>
  </si>
  <si>
    <t>d. Vô ý, do thiếu trách nhiệm dẫn đến việc làm sai lệch sổ sách, chứng từ, văn bản, giấy tờ, tài liệu của Công ty gây ra thiệt hại về tài sản của công ty dưới 5.000.000đ (năm triệu đồng).</t>
  </si>
  <si>
    <t>e. Vô ý, do thiếu trách nhiệm dẫn đến việc làm mất, thất lạc giấy tờ, sổ sách, chứng từ, tài liệu của Công ty gây ra thiệt hại về tài sản của công ty dưới 5.000.000đ (năm triệu đồng).</t>
  </si>
  <si>
    <t>f. Đòi hỏi tiền hoa hồng, chiết khấu của khách hàng tư lợi cho bản thân.</t>
  </si>
  <si>
    <t>g. Có hành vi quấy rối tình dục bằng hành vi phi lời nói.</t>
  </si>
  <si>
    <t>h. Có hành vi khác gây ra thiệt hại về tài sản của công ty dưới 5.000.000đ (năm triệu đồng).</t>
  </si>
  <si>
    <t>1. Bị xử lý kỷ luật bằng hình thức khiển trách 02 lần trong vòng 30 ngày liên tiếp hoặc 03 lần trong quý.</t>
  </si>
  <si>
    <t>2. Che dấu, không báo cáo, không tố giác hoặc không ngăn chặn khi biết người khác đang thực hiện những hành vi sau: Trộm cắp, phá hoại tài sản, tiết lộ bí mật công nghệ, kinh doanh của Công ty.</t>
  </si>
  <si>
    <t>3. Truyền đạt thông tin sai lệch gây mất đoàn kết nội bộ Công ty, ảnh hưởng đến uy tín Công ty.</t>
  </si>
  <si>
    <t>4. Có hành vi gây ra thiệt hại về tài sản của công ty từ 5.000.000đ đến 10 tháng lương tối thiểu vùng do Chính phủ công bố tại nơi CBNV làm việc cho đồng nghiệp/ Công ty.</t>
  </si>
  <si>
    <t>5. Có hành vi quấy rối tình dục bằng lời nói.</t>
  </si>
  <si>
    <t>6. Cố ý cưỡng ép, lăng nhục, đe doạ hoặc doạ dẫm CBNV khác.</t>
  </si>
  <si>
    <t>7. Sử dụng danh nghĩa Công ty cho việc riêng làm ảnh hưởng uy tín Công ty hoặc lừa đảo người khác.</t>
  </si>
  <si>
    <t>8. Cản trở giao dịch giữa Công ty và khách hàng, và ngược lại.</t>
  </si>
  <si>
    <t>9. Giả mạo chứng nhận của cơ sở khám, chữa bệnh hoặc những giấy tờ khác để lừa dối Công ty.</t>
  </si>
  <si>
    <t>1. Sử dụng quyền lực để bao che, tạo điều kiện, không ngăn chặn, không báo cáo hoặc báo cáo sai sự thật với người có thẩm quyền khi phát hiện vi phạm kỷ luật của Người lao động dưới quyền.</t>
  </si>
  <si>
    <t>2. Buông lỏng quản lý để Người lao động dưới quyền gây thiệt hại nghiêm trọng hoặc đe dọa gây thiệt hại đặc biệt nghiêm trọng về mặt tài sản, vật chất cho Công ty và bị xử lý kỷ luật sa thải;</t>
  </si>
  <si>
    <t>3. Buông lỏng quản lý để Người lao động dưới quyền vi phạm kỷ luật khiển trách với số lượng 05 người trong mỗi tháng hoặc trong thời gian 12 tháng có từ 02 Người lao động dưới quyền có hành vi vi phạm bị xử lý kỷ luật kéo dài thời hạn nâng lương.</t>
  </si>
  <si>
    <t>4. Trù dập Người lao động dưới quyền: đưa ra quyết định không công bằng, hạn chế cơ hội được làm việc, học hỏi, phát triển và cống hiến của Người lao động dưới quyền mà không có lý do chính đáng.</t>
  </si>
  <si>
    <t>1. CBNV có một trong các hành vi:</t>
  </si>
  <si>
    <t>- Trộm cắp, tham ô, đánh bạc, cố ý gây thương tích, sử dụng ma túy trong phạm vi nơi làm việc.</t>
  </si>
  <si>
    <t>- Tiết lộ bí mật kinh doanh, bí mật công nghệ của người sử dụng lao động.</t>
  </si>
  <si>
    <t>- Có hành vi quấy rối tình dục mang tính thể chất.</t>
  </si>
  <si>
    <t>2. CBNV bị xử lý kỷ luật kéo dài thời hạn nâng lương không quá 06 tháng hoặc cách chức mà tái phạm trong thời gian chưa xóa kỷ luật.</t>
  </si>
  <si>
    <t>3. Tự ý nghỉ việc 5 (năm) ngày cộng dồn trong thời hạn 30 (ba mươi) ngày hoặc 20 (hai mươi) ngày cộng dồn trong thời hạn 365 (ba trăm sáu mươi lăm) ngày kể từ ngày đầu tiên tự ý bỏ việc mà không có lý do chính đáng.</t>
  </si>
  <si>
    <t>Lý do chính đáng bao gồm:</t>
  </si>
  <si>
    <t>i. do thiên tai, hoả hoạn;</t>
  </si>
  <si>
    <t>ii. bản thân, thân nhân bị ốm có xác nhận của cơ sở khám bệnh, chữa bệnh có thẩm quyền;</t>
  </si>
  <si>
    <t>4. Người lao động có hành vi gây thiệt hại nghiêm trọng về tài sản, lợi ích của Công ty.</t>
  </si>
  <si>
    <t>5. Người lao động có hành vi đe dọa gây thiệt hại đặc biệt nghiêm trọng về tài sản, lợi ích của Công.</t>
  </si>
  <si>
    <t>Mức thiệt hại nghiêm trọng là thiệt hại trên 10 đến 20 tháng lương tối thiểu vùng do Chính phủ công bố tại nơi người lao động làm việc; thiệt hại đặc biệt nghiêm trọng là thiệt hại trên 20 tháng lương tối thiểu vùng do Chính phủ công bố tại nơi người lao động làm việc.</t>
  </si>
  <si>
    <t>1. Người đại diện theo pháp luật của doanh nghiệp là người có quyền ban hành quyết định xử lý vi phạm kỷ luật lao động đối với CBNV.</t>
  </si>
  <si>
    <t>2. Người đại diện theo pháp luật của doanh nghiệp là người có thẩm quyền xử lý bồi thường thiệt hại.</t>
  </si>
  <si>
    <t>3. Người được ủy quyền theo quy định của Pháp luật chỉ được xử lý kỷ luật bằng hình thức khiển trách. Đối với các hình thức xử lý kỷ luật lao động khác thì sau khi kết thúc cuộc họp xử lý kỷ luật lao động, người được ủy quyền theo quy định của Pháp luật có trách nhiệm hoàn thiện hồ sơ, đề nghị Người đại diện theo pháp luật xem xét, ra quyết định và tổ chức thực hiện theo quyết định xử lý kỷ luật lao động được ban hành.</t>
  </si>
  <si>
    <t>Điều 49. Thời hiệu xử lý kỷ luật động</t>
  </si>
  <si>
    <t>1. Thời hiệu xử lý kỷ luật lao động tối đa là 06 tháng, kể từ ngày xảy ra hành vi vi phạm; trường hợp hành vi vi phạm liên quan trực tiếp đến tài chính, tài sản, tiết lộ bí mật công nghệ, bí mật kinh doanh, bí mật thông tin nội bộ của Công ty thì thời hiệu xử lý kỷ luật lao động tối đa là 12 tháng.</t>
  </si>
  <si>
    <t>2. Các trường hợp kéo dài thời hiệu xử lý được thực hiện theo quy định tại Điều 123 của Bộ Luật Lao động 2019.</t>
  </si>
  <si>
    <t>1. CBNV làm mất dụng cụ, thiết bị, tài sản của người sử dụng lao động hoặc tài sản khác do người sử dụng lao động giao hoặc tiêu hao vật tư quá định mức cho phép thì phải bồi thường thiệt hại một phần hoặc toàn bộ theo thời giá thị trường; trường hợp có hợp đồng trách nhiệm thì phải bồi thường theo hợp đồng trách nhiệm; trường hợp do thiên tai, hoả hoạn, địch họa, dịch bệnh, thảm họa, sự kiện xảy ra khách quan không thể lường trước được và không thể khắc phục được mặc dù đã áp dụng mọi biện pháp cần thiết và khả năng cho phép thì không phải bồi thường.</t>
  </si>
  <si>
    <t>2. CBNV gây thiệt hại đặc biệt nghiêm trọng có thể bị truy cứu trách nhiệm hình sự.</t>
  </si>
  <si>
    <t>3. Trình tự, thủ tục xử lý bồi thường trách nhiệm vật chất được tuân thủ theo các quy định của Pháp luật Việt Nam.</t>
  </si>
  <si>
    <t>4. Thẩm quyền xử lý trách nhiệm vật chất: Người đại diện hoặc người được ủy quyền theo quy định pháp luật của doanh nghiệp là người có thẩm quyền xử lý trách nhiệm vật chất.</t>
  </si>
  <si>
    <t>1. CBNV bị xử lý kỷ luật hoặc xử lý bồi thường thiệt hại nếu không đồng ý với quyết định của Người sử dụng lao động có quyền khiếu nại.</t>
  </si>
  <si>
    <t>2. CBNV không đồng ý với kết quả giải quyết khiếu nại có quyền gửi đơn tới các cơ quan có thẩm quyền giải quyết tranh chấp lao động để yêu cầu giải quyết khiếu nại./.</t>
  </si>
  <si>
    <t>GIÁM ĐỐC CÔNG TY</t>
  </si>
  <si>
    <t>CÔNG TY ...................................</t>
  </si>
  <si>
    <t>Số: ....../QĐ-.......</t>
  </si>
  <si>
    <t>-----------------</t>
  </si>
  <si>
    <t>......................, ngày ...... tháng ...... năm 2026</t>
  </si>
  <si>
    <t>QUY CHẾ TIỀN LƯƠNG</t>
  </si>
  <si>
    <t>(Áp dụng đối với tài xế xe container, tài xế xe tải và phụ xe)</t>
  </si>
  <si>
    <t>(Ban hành kèm theo Quyết định số ....../QĐ-....... ngày ...../....../2026 của Giám đốc Công ty ...................................)</t>
  </si>
  <si>
    <t>Chương I</t>
  </si>
  <si>
    <t>QUY ĐỊNH CHUNG</t>
  </si>
  <si>
    <t>Điều 1. Mục đích</t>
  </si>
  <si>
    <t>Quy chế này quy định thống nhất về nguyên tắc, phương pháp xây dựng thang lương, bảng lương và cách tính, chi trả lương đối với tài xế xe container, tài xế xe tải và phụ xe làm việc tại Công ty, nhằm:</t>
  </si>
  <si>
    <t>●       Bảo đảm quyền lợi hợp pháp của người lao động, tuân thủ Bộ luật Lao động năm 2019 và các văn bản hướng dẫn thi hành;</t>
  </si>
  <si>
    <t>●       Gắn thu nhập của tài xế, phụ xe với hiệu quả và doanh thu vận chuyển thực tế, khuyến khích tăng năng suất, tiết kiệm chi phí, bảo đảm an toàn giao thông;</t>
  </si>
  <si>
    <t>●       Làm căn cứ để giao kết hợp đồng lao động, đóng bảo hiểm xã hội, giải quyết các chế độ liên quan đến tiền lương.</t>
  </si>
  <si>
    <t>Điều 2. Phạm vi và đối tượng áp dụng</t>
  </si>
  <si>
    <t>Quy chế áp dụng đối với toàn bộ người lao động giữ các chức danh: tài xế xe container (xe đầu kéo, sơ mi rơ moóc), tài xế xe tải các loại và phụ xe đang làm việc theo hợp đồng lao động tại Công ty, không phân biệt loại hợp đồng, trừ trường hợp có thỏa thuận khác bằng văn bản.</t>
  </si>
  <si>
    <t>Điều 3. Nguyên tắc trả lương</t>
  </si>
  <si>
    <t>●       Thu nhập hằng tháng của người lao động gồm hai phần: lương cơ bản (cố định) theo thang bảng lương và lương theo tỷ lệ (%) doanh thu vận chuyển thực hiện được, cộng với phụ cấp, tiền thưởng (nếu có) và trừ các khoản khấu trừ (nếu có).</t>
  </si>
  <si>
    <t>●       Trong bất kỳ trường hợp nào, tổng thu nhập thực trả cho người lao động làm đủ thời giờ làm việc bình thường trong tháng và hoàn thành định mức công việc đã thỏa thuận không được thấp hơn mức lương tối thiểu vùng do Chính phủ quy định tại địa bàn Công ty hoạt động.</t>
  </si>
  <si>
    <t>●       Lương được trả trực tiếp, đầy đủ, đúng hạn bằng tiền mặt hoặc chuyển khoản qua tài khoản ngân hàng của người lao động.</t>
  </si>
  <si>
    <t>●       Việc trả lương theo doanh thu không làm thay đổi nghĩa vụ đóng bảo hiểm xã hội, bảo hiểm y tế, bảo hiểm thất nghiệp theo quy định của pháp luật.</t>
  </si>
  <si>
    <t>Điều 4. Mức lương tối thiểu vùng làm căn cứ xây dựng thang bảng lương</t>
  </si>
  <si>
    <t>Thang bảng lương tại Quy chế này được xây dựng trên cơ sở mức lương tối thiểu vùng quy định tại Nghị định số 293/2025/NĐ-CP ngày 10/11/2025 của Chính phủ, áp dụng từ ngày 01/01/2026, cụ thể như sau:</t>
  </si>
  <si>
    <t>Vùng</t>
  </si>
  <si>
    <t>Lương tối thiểu tháng (đồng/tháng)</t>
  </si>
  <si>
    <t>Lương tối thiểu giờ (đồng/giờ)</t>
  </si>
  <si>
    <t>Vùng I</t>
  </si>
  <si>
    <t>4.960.000</t>
  </si>
  <si>
    <t>23.800</t>
  </si>
  <si>
    <t>Vùng II</t>
  </si>
  <si>
    <t>4.410.000</t>
  </si>
  <si>
    <t>21.200</t>
  </si>
  <si>
    <t>Vùng III</t>
  </si>
  <si>
    <t>3.860.000</t>
  </si>
  <si>
    <t>18.600</t>
  </si>
  <si>
    <t>Vùng IV</t>
  </si>
  <si>
    <t>3.450.000</t>
  </si>
  <si>
    <t>16.600</t>
  </si>
  <si>
    <t>Ghi chú: Các mức lương cơ bản nêu tại Chương II của Quy chế này được xây dựng minh họa theo Vùng I. Công ty căn cứ địa bàn hoạt động thực tế (Vùng I, II, III hoặc IV) để điều chỉnh mức lương cơ bản cho phù hợp, bảo đảm không thấp hơn mức lương tối thiểu vùng tương ứng và không thấp hơn mức lương tối thiểu vùng cộng thêm ít nhất 7% đối với công việc đòi hỏi qua đào tạo nghề.</t>
  </si>
  <si>
    <t>Chương II</t>
  </si>
  <si>
    <t>THANG LƯƠNG, BẢNG LƯƠNG CƠ BẢN</t>
  </si>
  <si>
    <t>Điều 5. Thang lương tài xế xe container</t>
  </si>
  <si>
    <t>Bậc</t>
  </si>
  <si>
    <t>Điều kiện / thâm niên áp dụng</t>
  </si>
  <si>
    <t>Hệ số</t>
  </si>
  <si>
    <t>Lương cơ bản (đồng/tháng)</t>
  </si>
  <si>
    <t>Mới tuyển dụng / dưới 1 năm kinh nghiệm lái xe đầu kéo container</t>
  </si>
  <si>
    <t>2,20</t>
  </si>
  <si>
    <t>6.500.000</t>
  </si>
  <si>
    <t>Từ đủ 1 năm đến dưới 3 năm kinh nghiệm</t>
  </si>
  <si>
    <t>2,50</t>
  </si>
  <si>
    <t>7.500.000</t>
  </si>
  <si>
    <t>Từ đủ 3 năm đến dưới 5 năm kinh nghiệm</t>
  </si>
  <si>
    <t>2,80</t>
  </si>
  <si>
    <t>8.500.000</t>
  </si>
  <si>
    <t>Từ đủ 5 năm trở lên, tay nghề cao, không vi phạm an toàn giao thông</t>
  </si>
  <si>
    <t>3,10</t>
  </si>
  <si>
    <t>9.500.000</t>
  </si>
  <si>
    <t>Ghi chú: Việc xếp bậc lương căn cứ vào kinh nghiệm lái xe container, kết quả sát hạch tay nghề và quá trình chấp hành nội quy, an toàn giao thông của người lao động.</t>
  </si>
  <si>
    <t>Điều 6. Thang lương tài xế xe tải</t>
  </si>
  <si>
    <t>Loại xe (theo tải trọng)</t>
  </si>
  <si>
    <t>Bậc 1 (mới / dưới 1 năm)</t>
  </si>
  <si>
    <t>Bậc 2 (1 - 3 năm)</t>
  </si>
  <si>
    <t>Bậc 3 (trên 3 năm)</t>
  </si>
  <si>
    <t>Xe tải nhẹ (dưới 3,5 tấn)</t>
  </si>
  <si>
    <t>5.300.000</t>
  </si>
  <si>
    <t>6.000.000</t>
  </si>
  <si>
    <t>6.700.000</t>
  </si>
  <si>
    <t>Xe tải trung (từ 3,5 đến 8 tấn)</t>
  </si>
  <si>
    <t>7.400.000</t>
  </si>
  <si>
    <t>Xe tải nặng (trên 8 tấn)</t>
  </si>
  <si>
    <t>8.200.000</t>
  </si>
  <si>
    <t>Ghi chú: Tải trọng xe được xác định theo Giấy chứng nhận kiểm định an toàn kỹ thuật và bảo vệ môi trường của phương tiện.</t>
  </si>
  <si>
    <t>Điều 7. Thang lương phụ xe</t>
  </si>
  <si>
    <t>Mới vào làm việc / thử việc</t>
  </si>
  <si>
    <t>4.500.000</t>
  </si>
  <si>
    <t>Từ đủ 1 năm đến dưới 3 năm</t>
  </si>
  <si>
    <t>5.000.000</t>
  </si>
  <si>
    <t>Từ đủ 3 năm trở lên</t>
  </si>
  <si>
    <t>5.500.000</t>
  </si>
  <si>
    <t>Chương III</t>
  </si>
  <si>
    <t>LƯƠNG THEO TỶ LỆ (%) DOANH THU VẬN CHUYỂN</t>
  </si>
  <si>
    <t>Điều 8. Doanh thu tính lương</t>
  </si>
  <si>
    <t>Doanh thu tính lương là doanh thu cước phí vận chuyển (chưa bao gồm thuế giá trị gia tăng) mà Công ty thực thu được từ khách hàng đối với các chuyến hàng do tài xế và phụ xe trực tiếp thực hiện trong tháng, sau khi trừ các khoản giảm trừ hợp lệ (hàng trả lại, chuyến hủy do lỗi khách hàng, chiết khấu đã cam kết với khách hàng...). Doanh thu tính lương do bộ phận Kế toán - Điều vận xác nhận hằng tháng, làm cơ sở đối chiếu và chi trả.</t>
  </si>
  <si>
    <t>Điều 9. Tỷ lệ (%) hưởng theo doanh thu</t>
  </si>
  <si>
    <t>Tỷ lệ (%) được tính lũy tiến từng phần theo mức doanh thu tính lương thực hiện trong tháng, áp dụng riêng cho từng tài xế, cụ thể:</t>
  </si>
  <si>
    <t>a) Đối với tài xế xe container:</t>
  </si>
  <si>
    <t>Doanh thu tính lương trong tháng (đồng)</t>
  </si>
  <si>
    <t>Tỷ lệ (%) được hưởng</t>
  </si>
  <si>
    <t>Phần doanh thu đến 80.000.000</t>
  </si>
  <si>
    <t>4,0%</t>
  </si>
  <si>
    <t>Phần doanh thu trên 80.000.000 đến 150.000.000</t>
  </si>
  <si>
    <t>5,0%</t>
  </si>
  <si>
    <t>Phần doanh thu trên 150.000.000</t>
  </si>
  <si>
    <t>6,0%</t>
  </si>
  <si>
    <t>b) Đối với tài xế xe tải:</t>
  </si>
  <si>
    <t>Phần doanh thu đến 50.000.000</t>
  </si>
  <si>
    <t>Phần doanh thu trên 50.000.000 đến 100.000.000</t>
  </si>
  <si>
    <t>Phần doanh thu trên 100.000.000</t>
  </si>
  <si>
    <t>c) Đối với phụ xe:</t>
  </si>
  <si>
    <t>Vị trí phối hợp</t>
  </si>
  <si>
    <t>Tỷ lệ (%) hưởng trên doanh thu chuyến</t>
  </si>
  <si>
    <t>Phụ xe đi theo xe container</t>
  </si>
  <si>
    <t>1,8%</t>
  </si>
  <si>
    <t>Phụ xe đi theo xe tải</t>
  </si>
  <si>
    <t>1,5%</t>
  </si>
  <si>
    <t>Ghi chú: Tỷ lệ hưởng của phụ xe được tính theo doanh thu của chuyến xe mà phụ xe trực tiếp đi cùng, không áp dụng lũy tiến. Ban Giám đốc xem xét điều chỉnh tỷ lệ (%) tại Điều này theo từng thời kỳ căn cứ tình hình sản xuất kinh doanh, biến động giá nhiên liệu và mặt bằng cước vận chuyển, bằng văn bản thông báo trước ít nhất 15 ngày.</t>
  </si>
  <si>
    <t>Điều 10. Công thức tính lương hằng tháng</t>
  </si>
  <si>
    <t>Tổng thu nhập tháng  =  Lương cơ bản  +  Lương theo doanh thu  +  Phụ cấp  +  Tiền thưởng (nếu có)  -  Các khoản khấu trừ (nếu có)</t>
  </si>
  <si>
    <t>●       Lương cơ bản: xác định theo bậc lương tại Chương II, trả cố định hằng tháng không phụ thuộc doanh thu, với điều kiện người lao động làm đủ ngày công tiêu chuẩn.</t>
  </si>
  <si>
    <t>●       Lương theo doanh thu: bằng doanh thu tính lương của từng bậc doanh thu (theo Điều 9) nhân với tỷ lệ (%) tương ứng.</t>
  </si>
  <si>
    <t>●       Trường hợp người lao động không làm đủ ngày công tiêu chuẩn trong tháng do nghỉ việc riêng, nghỉ không lương thì lương cơ bản được tính theo tỷ lệ ngày công thực tế làm việc.</t>
  </si>
  <si>
    <t>Chương IV</t>
  </si>
  <si>
    <t>PHỤ CẤP</t>
  </si>
  <si>
    <t>Điều 11. Các loại phụ cấp</t>
  </si>
  <si>
    <t>Ngoài lương cơ bản và lương theo doanh thu, tài xế và phụ xe được hưởng các khoản phụ cấp sau:</t>
  </si>
  <si>
    <t>Loại phụ cấp</t>
  </si>
  <si>
    <t>Mức áp dụng</t>
  </si>
  <si>
    <t>Điều kiện hưởng</t>
  </si>
  <si>
    <t>Phụ cấp ăn ca</t>
  </si>
  <si>
    <t>35.000 đồng/ngày công</t>
  </si>
  <si>
    <t>Tính theo ngày công thực tế đi làm</t>
  </si>
  <si>
    <t>Phụ cấp điện thoại, liên lạc</t>
  </si>
  <si>
    <t>150.000 đồng/tháng</t>
  </si>
  <si>
    <t>Áp dụng cho tất cả tài xế, phụ xe</t>
  </si>
  <si>
    <t>Phụ cấp lưu trú xa nhà</t>
  </si>
  <si>
    <t>120.000 đồng/đêm</t>
  </si>
  <si>
    <t>Khi phải nghỉ lại qua đêm ngoài tuyến cố định theo lệnh điều xe</t>
  </si>
  <si>
    <t>Phụ cấp trách nhiệm hàng hóa</t>
  </si>
  <si>
    <t>400.000 đồng/tháng</t>
  </si>
  <si>
    <t>Áp dụng cho tài xế xe container / hàng giá trị cao</t>
  </si>
  <si>
    <t>Phụ cấp thâm niên</t>
  </si>
  <si>
    <t>100.000 đồng/năm (tối đa 500.000đ/tháng)</t>
  </si>
  <si>
    <t>Tính từ năm thứ 3 làm việc liên tục trở lên</t>
  </si>
  <si>
    <t>Ghi chú: Các mức phụ cấp tại Điều này do Công ty quy định, không tính vào doanh thu để tính lương theo tỷ lệ % và được điều chỉnh theo tình hình thực tế.</t>
  </si>
  <si>
    <t>Chương V</t>
  </si>
  <si>
    <t>TIỀN THƯỞNG</t>
  </si>
  <si>
    <t>Điều 12. Các loại tiền thưởng</t>
  </si>
  <si>
    <t>●       Thưởng an toàn: 300.000 - 800.000 đồng/tháng cho tài xế không vi phạm Luật Giao thông đường bộ, không để xảy ra tai nạn, không bị khách hàng phản ánh, khiếu nại trong tháng.</t>
  </si>
  <si>
    <t>●       Thưởng tiết kiệm nhiên liệu: nếu mức tiêu hao nhiên liệu thực tế thấp hơn định mức khoán do Công ty ban hành cho từng loại xe/tuyến đường, tài xế được hưởng 50% giá trị chênh lệch tiết kiệm được.</t>
  </si>
  <si>
    <t>●       Thưởng hoàn thành vượt mức doanh thu: do Giám đốc xem xét, quyết định theo từng thời kỳ đối với các trường hợp có đóng góp, sáng kiến vượt trội trong công tác vận chuyển.</t>
  </si>
  <si>
    <t>●       Thưởng lễ, Tết, thâm niên và các khoản thưởng khác: thực hiện theo quy chế thưởng chung của Công ty và quy định của pháp luật lao động.</t>
  </si>
  <si>
    <t>Chương VI</t>
  </si>
  <si>
    <t>KHẤU TRỪ, BỒI THƯỜNG THIỆT HẠI</t>
  </si>
  <si>
    <t>Điều 13. Các trường hợp khấu trừ lương</t>
  </si>
  <si>
    <t>●       Vi phạm Luật Giao thông đường bộ do lỗi chủ quan của tài xế dẫn đến việc Công ty bị xử phạt vi phạm hành chính, phạt nguội: tài xế có trách nhiệm hoàn trả 100% số tiền phạt mà Công ty đã nộp thay.</t>
  </si>
  <si>
    <t>●       Gây tai nạn giao thông, hư hỏng phương tiện, hư hỏng, mất mát hàng hóa do lỗi chủ quan đã được lập biên bản xác định rõ lỗi và mức độ thiệt hại: người lao động có trách nhiệm bồi thường theo mức thiệt hại thực tế, trên cơ sở biên bản xử lý vi phạm nội bộ.</t>
  </si>
  <si>
    <t>●       Tiêu hao nhiên liệu vượt định mức khoán không có lý do chính đáng được Điều vận xác nhận: khấu trừ phần giá trị nhiên liệu vượt định mức.</t>
  </si>
  <si>
    <t>●       Giao hàng trễ, thiếu hàng, sai lệch chứng từ do lỗi chủ quan gây thiệt hại cho Công ty hoặc khách hàng: xử lý bồi thường theo mức độ thiệt hại thực tế trên cơ sở biên bản xác nhận.</t>
  </si>
  <si>
    <t>Điều 14. Giới hạn khấu trừ lương theo quy định pháp luật</t>
  </si>
  <si>
    <t>Việc khấu trừ tiền lương để bồi thường thiệt hại thực hiện theo Điều 102 Bộ luật Lao động năm 2019: người sử dụng lao động chỉ được khấu trừ lương sau khi đã trao đổi với tổ chức đại diện người lao động tại cơ sở (nếu có) và người lao động, có biên bản xác định rõ mức độ thiệt hại; mức khấu trừ tiền lương hằng tháng không được quá 30% tiền lương thực trả hằng tháng của người lao động sau khi trích nộp các khoản bảo hiểm xã hội bắt buộc, bảo hiểm y tế, bảo hiểm thất nghiệp, thuế thu nhập cá nhân.</t>
  </si>
  <si>
    <t>Chương VII</t>
  </si>
  <si>
    <t>VÍ DỤ MINH HỌA CÁCH TÍNH LƯƠNG</t>
  </si>
  <si>
    <t>Ví dụ 1 - Tài xế xe container bậc 3:</t>
  </si>
  <si>
    <t>●       Lương cơ bản bậc 3: 8.500.000 đồng</t>
  </si>
  <si>
    <t>●       Doanh thu tính lương trong tháng: 95.000.000 đồng, gồm: 80.000.000 đồng x 4,0% = 3.200.000 đồng; 15.000.000 đồng x 5,0% = 750.000 đồng → Lương theo doanh thu = 3.950.000 đồng</t>
  </si>
  <si>
    <t>●       Phụ cấp ăn ca (26 công x 35.000 đồng) = 910.000 đồng; phụ cấp điện thoại = 150.000 đồng; phụ cấp trách nhiệm hàng hóa = 400.000 đồng</t>
  </si>
  <si>
    <t>●       Thưởng an toàn (không vi phạm trong tháng) = 500.000 đồng</t>
  </si>
  <si>
    <t>Tổng thu nhập tháng = 8.500.000 + 3.950.000 + 910.000 + 150.000 + 400.000 + 500.000 = 14.410.000 đồng</t>
  </si>
  <si>
    <t>Ví dụ 2 - Phụ xe đi theo xe container (bậc 2):</t>
  </si>
  <si>
    <t>●       Lương cơ bản bậc 2: 5.000.000 đồng</t>
  </si>
  <si>
    <t>●       Doanh thu chuyến xe đi cùng trong tháng: 95.000.000 đồng x 1,8% = 1.710.000 đồng</t>
  </si>
  <si>
    <t>●       Phụ cấp ăn ca (26 công x 35.000 đồng) = 910.000 đồng; phụ cấp điện thoại = 150.000 đồng</t>
  </si>
  <si>
    <t>Tổng thu nhập tháng = 5.000.000 + 1.710.000 + 910.000 + 150.000 = 7.770.000 đồng</t>
  </si>
  <si>
    <t>Ghi chú: Số liệu doanh thu, ngày công trong các ví dụ trên chỉ mang tính chất minh họa cách tính, không phải số liệu thực tế áp dụng.</t>
  </si>
  <si>
    <t>Chương VIII</t>
  </si>
  <si>
    <t>KỲ HẠN VÀ HÌNH THỨC TRẢ LƯƠNG</t>
  </si>
  <si>
    <t>Điều 15. Kỳ hạn trả lương</t>
  </si>
  <si>
    <t>●       Kỳ 1 (tạm ứng): từ ngày 15 đến ngày 20 hằng tháng, tạm ứng tối đa 50% lương cơ bản của tháng đang làm việc.</t>
  </si>
  <si>
    <t>●       Kỳ 2 (quyết toán): từ ngày 05 đến ngày 10 tháng liền kề sau khi đã tổng hợp, đối chiếu doanh thu tính lương của tháng trước, Công ty thanh toán phần còn lại gồm lương theo doanh thu, phụ cấp, tiền thưởng sau khi trừ tạm ứng và các khoản khấu trừ (nếu có).</t>
  </si>
  <si>
    <t>●       Trường hợp ngày trả lương trùng vào ngày nghỉ lễ, tết, ngày nghỉ hằng tuần thì được trả trước ngày nghỉ.</t>
  </si>
  <si>
    <t>Điều 16. Hình thức trả lương</t>
  </si>
  <si>
    <t>Lương được trả bằng tiền mặt hoặc chuyển khoản vào tài khoản ngân hàng do người lao động cung cấp. Người lao động được cung cấp phiếu lương thể hiện rõ các khoản: lương cơ bản, lương theo doanh thu, phụ cấp, tiền thưởng, khoản khấu trừ, khoản bảo hiểm, thuế thu nhập cá nhân (nếu có) và số tiền thực nhận.</t>
  </si>
  <si>
    <t>Chương IX</t>
  </si>
  <si>
    <t>ĐIỀU KHOẢN THI HÀNH</t>
  </si>
  <si>
    <t>Điều 17. Hiệu lực thi hành</t>
  </si>
  <si>
    <t>Quy chế này có hiệu lực kể từ ngày ký ban hành và thay thế các quy định về tiền lương trước đây trái với Quy chế này áp dụng đối với tài xế xe container, tài xế xe tải và phụ xe của Công ty.</t>
  </si>
  <si>
    <t>Điều 18. Điều chỉnh, sửa đổi, bổ sung</t>
  </si>
  <si>
    <t>●       Khi Nhà nước điều chỉnh mức lương tối thiểu vùng, Công ty rà soát và điều chỉnh thang bảng lương tại Quy chế này để bảo đảm không thấp hơn mức lương tối thiểu vùng mới, đồng thời không cắt giảm các quyền lợi khác đã cam kết có lợi hơn cho người lao động.</t>
  </si>
  <si>
    <t>●       Trong quá trình thực hiện, nếu phát sinh vướng mắc, các đơn vị, cá nhân phản ánh về Phòng Nhân sự để tổng hợp, báo cáo Giám đốc xem xét, sửa đổi, bổ sung cho phù hợp.</t>
  </si>
  <si>
    <t>(Ký, đóng dấu, ghi rõ họ tên)</t>
  </si>
  <si>
    <t>(Áp dụng đối với tài xế xe container, xe fooc, xe mooc, xe tải và phụ xe)</t>
  </si>
  <si>
    <t>Quy chế này quy định thống nhất về nguyên tắc, phương pháp xây dựng thang lương, bảng lương và cách tính, chi trả lương đối với tài xế xe container, xe fooc, xe mooc, tài xế xe tải và phụ xe làm việc tại Công ty, nhằm:</t>
  </si>
  <si>
    <t>●       Gắn thu nhập của tài xế, phụ xe với sản lượng vận chuyển thực tế (số chuyến, cự ly vận chuyển hoàn thành), khuyến khích tăng năng suất, tiết kiệm chi phí, bảo đảm an toàn giao thông;</t>
  </si>
  <si>
    <t>Quy chế áp dụng đối với toàn bộ người lao động giữ các chức danh: tài xế xe container, tài xế xe đầu kéo rơ-moóc fooc, tài xế xe đầu kéo rơ-moóc (mooc), tài xế xe tải các loại và phụ xe đang làm việc theo hợp đồng lao động tại Công ty, không phân biệt loại hợp đồng, trừ trường hợp có thỏa thuận khác bằng văn bản.</t>
  </si>
  <si>
    <t>Ghi chú: Trong Quy chế này, "xe fooc" là xe đầu kéo kéo rơ-moóc sàn/thành lửng, thường dùng chở hàng rời, máy móc, thiết bị, hàng quá khổ; "xe mooc" là xe đầu kéo kéo rơ-moóc chở hàng tổng hợp không phải container tiêu chuẩn. Tài xế các loại xe này đều phải có Giấy phép lái xe hạng phù hợp (hạng FC hoặc hạng tương đương) theo quy định.</t>
  </si>
  <si>
    <t>●       Thu nhập hằng tháng của người lao động gồm hai phần: lương cơ bản (cố định) theo thang bảng lương và lương khoán theo chuyến chạy thực tế (căn cứ số chuyến, cự ly vận chuyển hoàn thành), cộng với phụ cấp, tiền thưởng (nếu có) và trừ các khoản khấu trừ (nếu có).</t>
  </si>
  <si>
    <t>●       Việc trả lương khoán theo chuyến không làm thay đổi nghĩa vụ đóng bảo hiểm xã hội, bảo hiểm y tế, bảo hiểm thất nghiệp theo quy định của pháp luật.</t>
  </si>
  <si>
    <t>Điều 5. Thang lương nhóm tài xế xe đầu kéo (container, fooc, mooc)</t>
  </si>
  <si>
    <t>Loại xe đầu kéo</t>
  </si>
  <si>
    <t>Bậc 1</t>
  </si>
  <si>
    <t>Bậc 2</t>
  </si>
  <si>
    <t>Bậc 3</t>
  </si>
  <si>
    <t>Bậc 4</t>
  </si>
  <si>
    <t>(dưới 1 năm)</t>
  </si>
  <si>
    <t>(1 - 3 năm)</t>
  </si>
  <si>
    <t>(3 - 5 năm)</t>
  </si>
  <si>
    <t>(trên 5 năm)</t>
  </si>
  <si>
    <t>Xe container</t>
  </si>
  <si>
    <t>Xe fooc (rơ-moóc fooc)</t>
  </si>
  <si>
    <t>7.700.000</t>
  </si>
  <si>
    <t>8.700.000</t>
  </si>
  <si>
    <t>9.700.000</t>
  </si>
  <si>
    <t>Xe mooc (rơ-moóc sàn/thường)</t>
  </si>
  <si>
    <t>6.600.000</t>
  </si>
  <si>
    <t>7.600.000</t>
  </si>
  <si>
    <t>8.600.000</t>
  </si>
  <si>
    <t>9.600.000</t>
  </si>
  <si>
    <t>Ghi chú: Việc xếp bậc lương căn cứ vào kinh nghiệm lái xe đầu kéo, kết quả sát hạch tay nghề và quá trình chấp hành nội quy, an toàn giao thông của người lao động. Mức lương cơ bản của xe fooc, xe mooc cao hơn xe container cùng bậc do yêu cầu kỹ năng buộc, chằng, gia cố hàng hóa phức tạp hơn.</t>
  </si>
  <si>
    <t>(mới / dưới 1 năm)</t>
  </si>
  <si>
    <t>(trên 3 năm)</t>
  </si>
  <si>
    <t>LƯƠNG KHOÁN THEO CHUYẾN CHẠY THỰC TẾ</t>
  </si>
  <si>
    <t>Điều 8. Chuyến chạy thực tế</t>
  </si>
  <si>
    <t>Chuyến chạy thực tế là mỗi lượt vận chuyển hàng hóa hoàn thành từ điểm nhận đến điểm trả hàng theo Lệnh điều xe/Phiếu vận chuyển do bộ phận Điều vận cấp, có xác nhận giao nhận hàng đầy đủ của khách hàng hoặc kho hàng. Chuyến chạy rỗng (không có hàng theo Lệnh điều xe) được thanh toán bằng 50% đơn giá của chuyến tương ứng, trừ trường hợp chạy rỗng do lỗi của Công ty hoặc điều động nội bộ thì được thanh toán 100%.</t>
  </si>
  <si>
    <t>Điều 9. Đơn giá khoán theo cung đường cố định</t>
  </si>
  <si>
    <t>Đối với các cung đường vận chuyển thường xuyên, cố định, Công ty áp dụng đơn giá khoán trọn gói theo chuyến (1 chiều có hàng) như sau:</t>
  </si>
  <si>
    <t>Cung đường (chuyến 1 chiều có hàng)</t>
  </si>
  <si>
    <t>Cự ly (km)</t>
  </si>
  <si>
    <t>Đơn giá/chuyến - Xe đầu kéo (cont/fooc/mooc)</t>
  </si>
  <si>
    <t>Đơn giá/chuyến - Xe tải</t>
  </si>
  <si>
    <t>Đơn giá/chuyến - Phụ xe</t>
  </si>
  <si>
    <t>Nội thành / KCN lân cận</t>
  </si>
  <si>
    <t>&lt; 50</t>
  </si>
  <si>
    <t>350.000</t>
  </si>
  <si>
    <t>250.000</t>
  </si>
  <si>
    <t>90.000</t>
  </si>
  <si>
    <t>TP.HCM - Cần Thơ / Vũng Tàu</t>
  </si>
  <si>
    <t>150 - 200</t>
  </si>
  <si>
    <t>1.100.000</t>
  </si>
  <si>
    <t>800.000</t>
  </si>
  <si>
    <t>TP.HCM - Nha Trang / Quy Nhơn</t>
  </si>
  <si>
    <t>400 - 600</t>
  </si>
  <si>
    <t>2.600.000</t>
  </si>
  <si>
    <t>1.900.000</t>
  </si>
  <si>
    <t>500.000</t>
  </si>
  <si>
    <t>TP.HCM - Đà Nẵng</t>
  </si>
  <si>
    <t>~ 950</t>
  </si>
  <si>
    <t>4.800.000</t>
  </si>
  <si>
    <t>3.600.000</t>
  </si>
  <si>
    <t>900.000</t>
  </si>
  <si>
    <t>TP.HCM - Hà Nội / Hải Phòng</t>
  </si>
  <si>
    <t>~ 1.700</t>
  </si>
  <si>
    <t>1.600.000</t>
  </si>
  <si>
    <t>Ghi chú: Bảng trên chỉ là ví dụ minh họa cho một số cung đường phổ biến. Công ty xây dựng Phụ lục đơn giá chi tiết theo toàn bộ danh mục tuyến đường thực tế đang khai thác, ban hành kèm theo Quy chế này và cập nhật khi có biến động về cự ly, giá nhiên liệu, phí cầu đường.</t>
  </si>
  <si>
    <t>Điều 10. Đơn giá khoán theo ki-lô-mét thực chạy</t>
  </si>
  <si>
    <t>Đối với các chuyến phát sinh, tuyến đường không cố định hoặc chưa có trong Phụ lục cung đường, lương khoán được tính theo số km thực chạy có hàng nhân với đơn giá sau:</t>
  </si>
  <si>
    <t>Loại xe</t>
  </si>
  <si>
    <t>Đơn giá (đồng/km có hàng)</t>
  </si>
  <si>
    <t>Xe đầu kéo (container / fooc / mooc)</t>
  </si>
  <si>
    <t>9.500</t>
  </si>
  <si>
    <t>6.000</t>
  </si>
  <si>
    <t>Xe tải trung (3,5 - 8 tấn)</t>
  </si>
  <si>
    <t>7.500</t>
  </si>
  <si>
    <t>8.500</t>
  </si>
  <si>
    <t>Phụ xe (áp dụng chung cho mọi loại xe)</t>
  </si>
  <si>
    <t>2.500</t>
  </si>
  <si>
    <t>Ghi chú: Đối với hàng hóa vận chuyển trên xe fooc, xe mooc thuộc diện hàng quá khổ, quá tải, hàng rời cồng kềnh phải xin Giấy phép lưu hành đặc biệt hoặc phải sử dụng thêm thiết bị chằng buộc, gia cố chuyên dụng, đơn giá khoán chuyến (cả theo cung đường cố định tại Điều 9 và theo km tại Điều này) được cộng thêm 10%.</t>
  </si>
  <si>
    <t>Điều 11. Công thức tính lương khoán theo chuyến hằng tháng</t>
  </si>
  <si>
    <t>●       Lương khoán theo chuyến trong tháng = Tổng (đơn giá cung đường cố định x số chuyến hoàn thành) + Tổng (đơn giá theo km x số km có hàng của các chuyến phát sinh) + Tổng (tiền chuyến chạy rỗng được thanh toán theo Điều 8).</t>
  </si>
  <si>
    <t>●       Số liệu chuyến, cự ly làm căn cứ tính lương do bộ phận Điều vận tổng hợp từ Lệnh điều xe, có xác nhận của khách hàng/kho hàng và đối chiếu với người lao động trước khi chi trả.</t>
  </si>
  <si>
    <t>Điều 12. Các loại phụ cấp</t>
  </si>
  <si>
    <t>Ngoài lương cơ bản và lương khoán theo chuyến, tài xế và phụ xe được hưởng các khoản phụ cấp sau:</t>
  </si>
  <si>
    <t>Áp dụng cho tài xế xe container, xe fooc, xe mooc / hàng giá trị cao</t>
  </si>
  <si>
    <t>100.000 đồng/năm</t>
  </si>
  <si>
    <t>Ghi chú: Các mức phụ cấp tại Điều này do Công ty quy định, không tính vào sản lượng chuyến để tính lương khoán và được điều chỉnh theo tình hình thực tế.</t>
  </si>
  <si>
    <t>Điều 13. Các loại tiền thưởng</t>
  </si>
  <si>
    <t>●       Thưởng hoàn thành vượt sản lượng chuyến: do Giám đốc xem xét, quyết định theo từng thời kỳ đối với các trường hợp có đóng góp, sáng kiến vượt trội trong công tác vận chuyển.</t>
  </si>
  <si>
    <t>Điều 14. Các trường hợp khấu trừ lương</t>
  </si>
  <si>
    <t>●       Khai khống số chuyến, cự ly hoặc kê khai sai Lệnh điều xe để hưởng lương khoán không đúng thực tế: xử lý kỷ luật lao động theo Nội quy lao động và khấu trừ toàn bộ phần lương khoán đã hưởng sai.</t>
  </si>
  <si>
    <t>Điều 15. Giới hạn khấu trừ lương theo quy định pháp luật</t>
  </si>
  <si>
    <t>●       Trong tháng chạy 16 chuyến cố định cung đường TP.HCM - Cần Thơ (1.100.000 đồng/chuyến) = 17.600.000 đồng</t>
  </si>
  <si>
    <t>●       02 chuyến phát sinh ngoài cung đường cố định, tổng cộng 300 km có hàng x 9.500 đồng/km = 2.850.000 đồng</t>
  </si>
  <si>
    <t>●       Lương khoán theo chuyến = 17.600.000 + 2.850.000 = 20.450.000 đồng</t>
  </si>
  <si>
    <t>Tổng thu nhập tháng = 8.500.000 + 20.450.000 + 910.000 + 150.000 + 400.000 + 500.000 = 30.910.000 đồng</t>
  </si>
  <si>
    <t>Ví dụ 2 - Phụ xe đi theo xe container (bậc 2), đi cùng các chuyến ở Ví dụ 1:</t>
  </si>
  <si>
    <t>●       16 chuyến cố định x 250.000 đồng = 4.000.000 đồng</t>
  </si>
  <si>
    <t>●       02 chuyến phát sinh: 300 km x 2.500 đồng/km = 750.000 đồng</t>
  </si>
  <si>
    <t>●       Lương khoán theo chuyến = 4.000.000 + 750.000 = 4.750.000 đồng</t>
  </si>
  <si>
    <t>Tổng thu nhập tháng = 5.000.000 + 4.750.000 + 910.000 + 150.000 = 10.810.000 đồng</t>
  </si>
  <si>
    <t>Ghi chú: Số liệu số chuyến, cự ly trong các ví dụ trên chỉ mang tính chất minh họa cách tính, không phải số liệu thực tế áp dụng.</t>
  </si>
  <si>
    <t>Điều 16. Kỳ hạn trả lương</t>
  </si>
  <si>
    <t>●       Kỳ 2 (quyết toán): từ ngày 05 đến ngày 10 tháng liền kề sau khi đã tổng hợp, đối chiếu số chuyến, cự ly vận chuyển của tháng trước, Công ty thanh toán phần còn lại gồm lương khoán theo chuyến, phụ cấp, tiền thưởng sau khi trừ tạm ứng và các khoản khấu trừ (nếu có).</t>
  </si>
  <si>
    <t>Điều 17. Hình thức trả lương</t>
  </si>
  <si>
    <t>Lương được trả bằng tiền mặt hoặc chuyển khoản vào tài khoản ngân hàng do người lao động cung cấp. Người lao động được cung cấp phiếu lương thể hiện rõ các khoản: lương cơ bản, số chuyến/số km và lương khoán theo chuyến, phụ cấp, tiền thưởng, khoản khấu trừ, khoản bảo hiểm, thuế thu nhập cá nhân (nếu có) và số tiền thực nhận.</t>
  </si>
  <si>
    <t>Điều 18. Hiệu lực thi hành</t>
  </si>
  <si>
    <t>Quy chế này có hiệu lực kể từ ngày ký ban hành và thay thế các quy định về tiền lương trước đây trái với Quy chế này áp dụng đối với tài xế xe container, xe fooc, xe mooc, tài xế xe tải và phụ xe của Công ty.</t>
  </si>
  <si>
    <t>Điều 19. Điều chỉnh, sửa đổi, bổ sung</t>
  </si>
  <si>
    <t>●       Đơn giá khoán theo chuyến tại Điều 9, Điều 10 được Công ty rà soát, điều chỉnh định kỳ hoặc khi có biến động lớn về giá nhiên liệu, phí cầu đường, phù hợp với mặt bằng cước vận chuyển thị trường.</t>
  </si>
  <si>
    <t>QUY CHẾ TIỀN LƯƠNG KHỐI VĂN PHÒNG</t>
  </si>
  <si>
    <t>(Áp dụng đối với Ban Giám đốc và các phòng: Kế toán, Chứng từ, Kinh doanh - CSKH, OPS, Điều vận, Nhân sự)</t>
  </si>
  <si>
    <t>Quy chế này quy định thống nhất về nguyên tắc, phương pháp xây dựng thang lương, bảng lương và cách tính, chi trả lương đối với Ban Giám đốc và cán bộ, nhân viên các phòng: Kế toán, Chứng từ, Kinh doanh - Chăm sóc khách hàng, OPS, Điều vận, Nhân sự của Công ty, nhằm:</t>
  </si>
  <si>
    <t>●       Gắn thu nhập của cán bộ, nhân viên với hiệu quả, kết quả công việc và đóng góp thực tế của từng vị trí, từng phòng ban;</t>
  </si>
  <si>
    <t>●       Làm căn cứ để giao kết hợp đồng lao động, đóng bảo hiểm xã hội, giải quyết các chế độ liên quan đến tiền lương và xét nâng bậc lương.</t>
  </si>
  <si>
    <t>Quy chế áp dụng đối với toàn bộ người lao động làm việc theo hợp đồng lao động tại các bộ phận sau của Công ty:</t>
  </si>
  <si>
    <t>●       Ban Giám đốc: Giám đốc/Tổng Giám đốc, Phó Giám đốc;</t>
  </si>
  <si>
    <t>●       Phòng Kế toán: Kế toán trưởng, Kế toán tổng hợp, Kế toán công nợ, Kế toán thanh toán - thủ quỹ;</t>
  </si>
  <si>
    <t>●       Phòng Chứng từ: Trưởng phòng Chứng từ, Nhân viên chứng từ;</t>
  </si>
  <si>
    <t>●       Phòng Kinh doanh - Chăm sóc khách hàng: Trưởng phòng Kinh doanh, Nhân viên Kinh doanh (Sales), Nhân viên Chăm sóc khách hàng (CS);</t>
  </si>
  <si>
    <t>●       Phòng OPS: Trưởng phòng OPS, Nhân viên OPS;</t>
  </si>
  <si>
    <t>●       Phòng Điều vận: Trưởng phòng Điều vận, Điều phối viên/Nhân viên điều vận;</t>
  </si>
  <si>
    <t>●       Phòng Nhân sự: Trưởng phòng Nhân sự, Chuyên viên Nhân sự - Hành chính.</t>
  </si>
  <si>
    <t>Ghi chú: Đối với các chức danh phát sinh ngoài danh mục trên, Công ty căn cứ tính chất, mức độ phức tạp của công việc để xếp vào nhóm chức danh có tính chất tương đương làm căn cứ trả lương, hoặc trình Giám đốc quyết định bổ sung.</t>
  </si>
  <si>
    <t>●       Thu nhập hằng tháng của người lao động gồm: lương cơ bản (cố định) theo thang bảng lương, phụ cấp, lương kinh doanh/thưởng theo hiệu quả công việc (KPI) (nếu có) và các khoản thưởng khác, sau khi trừ các khoản khấu trừ (nếu có).</t>
  </si>
  <si>
    <t>●       Tổng thu nhập thực trả cho người lao động làm đủ thời giờ làm việc bình thường trong tháng và hoàn thành công việc được giao không thấp hơn mức lương tối thiểu vùng do Chính phủ quy định tại địa bàn Công ty hoạt động.</t>
  </si>
  <si>
    <t>●       Việc trả lương kinh doanh/thưởng KPI không làm thay đổi nghĩa vụ đóng bảo hiểm xã hội, bảo hiểm y tế, bảo hiểm thất nghiệp theo quy định của pháp luật.</t>
  </si>
  <si>
    <t>Ghi chú: Các mức lương cơ bản nêu tại Chương II của Quy chế này được xây dựng minh họa theo Vùng I. Công ty căn cứ địa bàn hoạt động thực tế để điều chỉnh cho phù hợp, bảo đảm không thấp hơn mức lương tối thiểu vùng tương ứng và không thấp hơn mức lương tối thiểu vùng cộng thêm ít nhất 7% đối với công việc đòi hỏi qua đào tạo nghề.</t>
  </si>
  <si>
    <t>THANG LƯƠNG, BẢNG LƯƠNG THEO CHỨC DANH</t>
  </si>
  <si>
    <t>Điều 5. Nguyên tắc xếp bậc lương</t>
  </si>
  <si>
    <t>●       Đối với vị trí quản lý (Phó Giám đốc, Kế toán trưởng, Trưởng phòng): áp dụng 02 bậc lương. Bậc 1 áp dụng khi mới được bổ nhiệm hoặc có dưới 02 năm kinh nghiệm ở vị trí quản lý tương đương; Bậc 2 áp dụng khi đã đảm nhiệm vị trí từ đủ 02 năm trở lên, hoàn thành tốt nhiệm vụ được giao.</t>
  </si>
  <si>
    <t>●       Đối với vị trí chuyên viên, nhân viên: áp dụng 03 bậc lương. Bậc 1 áp dụng khi mới tuyển dụng hoặc có dưới 01 năm kinh nghiệm; Bậc 2 áp dụng khi có từ đủ 01 năm đến dưới 03 năm kinh nghiệm; Bậc 3 áp dụng khi có từ đủ 03 năm kinh nghiệm trở lên, thành thạo nghiệp vụ.</t>
  </si>
  <si>
    <t>●       Mức lương của Giám đốc/Tổng Giám đốc do chủ sở hữu/Hội đồng thành viên Công ty quyết định, thể hiện tại Hợp đồng lao động hoặc Quyết định bổ nhiệm, không áp dụng bậc lương chung tại Quy chế này.</t>
  </si>
  <si>
    <t>Điều 6. Thang lương Ban Giám đốc</t>
  </si>
  <si>
    <t>Bậc 1 (mới bổ nhiệm / dưới 2 năm)</t>
  </si>
  <si>
    <t>Bậc 2 (từ 2 năm trở lên)</t>
  </si>
  <si>
    <t>Phó Giám đốc</t>
  </si>
  <si>
    <t>22.000.000</t>
  </si>
  <si>
    <t>28.000.000</t>
  </si>
  <si>
    <t>Ghi chú: Mức lương của Giám đốc/Tổng Giám đốc theo Điều 5, không thấp hơn mức lương Bậc 2 của Phó Giám đốc.</t>
  </si>
  <si>
    <t>Điều 7. Thang lương Phòng Kế toán</t>
  </si>
  <si>
    <t>Kế toán trưởng</t>
  </si>
  <si>
    <t>15.000.000</t>
  </si>
  <si>
    <t>18.000.000</t>
  </si>
  <si>
    <t>—</t>
  </si>
  <si>
    <t>Kế toán tổng hợp</t>
  </si>
  <si>
    <t>9.000.000</t>
  </si>
  <si>
    <t>11.000.000</t>
  </si>
  <si>
    <t>13.000.000</t>
  </si>
  <si>
    <t>Kế toán công nợ</t>
  </si>
  <si>
    <t>8.000.000</t>
  </si>
  <si>
    <t>Kế toán thanh toán - thủ quỹ</t>
  </si>
  <si>
    <t>10.500.000</t>
  </si>
  <si>
    <t>Ghi chú: Kế toán trưởng phải đáp ứng tiêu chuẩn, điều kiện theo Luật Kế toán và được bổ nhiệm bằng quyết định riêng của Giám đốc.</t>
  </si>
  <si>
    <t>Điều 8. Thang lương Phòng Chứng từ</t>
  </si>
  <si>
    <t>Trưởng phòng Chứng từ</t>
  </si>
  <si>
    <t>16.000.000</t>
  </si>
  <si>
    <t>Điều 9. Thang lương Phòng Kinh doanh - Chăm sóc khách hàng</t>
  </si>
  <si>
    <t>Trưởng phòng Kinh doanh</t>
  </si>
  <si>
    <t>Nhân viên Kinh doanh (Sales)</t>
  </si>
  <si>
    <t>10.000.000</t>
  </si>
  <si>
    <t>Nhân viên Chăm sóc khách hàng (CS)</t>
  </si>
  <si>
    <t>Ghi chú: Mức lương tại Điều này chưa bao gồm hoa hồng kinh doanh quy định tại Điều 15.</t>
  </si>
  <si>
    <t>Điều 10. Thang lương Phòng OPS</t>
  </si>
  <si>
    <t>Trưởng phòng OPS</t>
  </si>
  <si>
    <t>14.000.000</t>
  </si>
  <si>
    <t>17.000.000</t>
  </si>
  <si>
    <t>Nhân viên OPS</t>
  </si>
  <si>
    <t>Điều 11. Thang lương Phòng Điều vận</t>
  </si>
  <si>
    <t>Trưởng phòng Điều vận</t>
  </si>
  <si>
    <t>Điều phối viên / Nhân viên điều vận</t>
  </si>
  <si>
    <t>Điều 12. Thang lương Phòng Nhân sự</t>
  </si>
  <si>
    <t>Trưởng phòng Nhân sự</t>
  </si>
  <si>
    <t>Chuyên viên Nhân sự - Hành chính</t>
  </si>
  <si>
    <t>Điều 13. Phụ cấp chức vụ</t>
  </si>
  <si>
    <t>Mức phụ cấp (đồng/tháng)</t>
  </si>
  <si>
    <t>3.000.000</t>
  </si>
  <si>
    <t>2.000.000</t>
  </si>
  <si>
    <t>Trưởng phòng (Chứng từ, Kinh doanh, OPS, Điều vận, Nhân sự)</t>
  </si>
  <si>
    <t>1.500.000</t>
  </si>
  <si>
    <t>Điều 14. Các phụ cấp khác</t>
  </si>
  <si>
    <t>Đối tượng</t>
  </si>
  <si>
    <t>730.000 đồng/tháng</t>
  </si>
  <si>
    <t>Toàn thể CBNV khối văn phòng</t>
  </si>
  <si>
    <t>200.000 - 500.000 đồng/tháng theo chức danh</t>
  </si>
  <si>
    <t>Quản lý, Kinh doanh, OPS, Điều vận</t>
  </si>
  <si>
    <t>Phụ cấp gửi xe, đi lại</t>
  </si>
  <si>
    <t>200.000 đồng/tháng</t>
  </si>
  <si>
    <t>Phụ cấp công tác, xăng xe</t>
  </si>
  <si>
    <t>Khoán 500.000 - 1.000.000 đồng/tháng hoặc theo thực tế có chứng từ</t>
  </si>
  <si>
    <t>Kinh doanh, OPS, Điều vận khi đi gặp khách hàng, ra cảng, kho bãi</t>
  </si>
  <si>
    <t>Ghi chú: Các mức phụ cấp tại Điều này do Công ty quy định và được điều chỉnh theo tình hình thực tế.</t>
  </si>
  <si>
    <t>LƯƠNG KINH DOANH VÀ THƯỞNG HIỆU QUẢ CÔNG VIỆC (KPI)</t>
  </si>
  <si>
    <t>Điều 15. Hoa hồng kinh doanh</t>
  </si>
  <si>
    <t>Doanh thu tính hoa hồng là doanh thu cước dịch vụ (chưa bao gồm thuế giá trị gia tăng) do cá nhân trực tiếp khai thác, đàm phán, ký kết phát sinh trong tháng và đã được Kế toán xác nhận đã thu tiền hoặc còn trong hạn công nợ theo hợp đồng. Tỷ lệ hoa hồng áp dụng lũy tiến từng phần như sau:</t>
  </si>
  <si>
    <t>Mức doanh thu tính hoa hồng trong tháng (đồng)</t>
  </si>
  <si>
    <t>Tỷ lệ hoa hồng</t>
  </si>
  <si>
    <t>Đến 200.000.000</t>
  </si>
  <si>
    <t>1,0%</t>
  </si>
  <si>
    <t>Trên 200.000.000 đến 500.000.000</t>
  </si>
  <si>
    <t>Trên 500.000.000</t>
  </si>
  <si>
    <t>2,0%</t>
  </si>
  <si>
    <t>Ghi chú: Hoa hồng kinh doanh áp dụng cho Trưởng phòng Kinh doanh và Nhân viên Kinh doanh (Sales); hai chức danh này không đồng thời hưởng thưởng KPI quy định tại Điều 16. Nhân viên Chăm sóc khách hàng (CS) áp dụng thưởng KPI theo Điều 16.</t>
  </si>
  <si>
    <t>Điều 16. Thưởng KPI khối văn phòng, vận hành, hỗ trợ</t>
  </si>
  <si>
    <t>Áp dụng đối với: Phòng Kế toán, Phòng Chứng từ, Nhân viên Chăm sóc khách hàng, Phòng OPS, Phòng Điều vận, Phòng Nhân sự. Khung thưởng tối đa hằng tháng:</t>
  </si>
  <si>
    <t>Nhóm chức danh</t>
  </si>
  <si>
    <t>Khung thưởng tối đa (đồng/tháng)</t>
  </si>
  <si>
    <t>Trưởng phòng / Kế toán trưởng</t>
  </si>
  <si>
    <t>2.500.000</t>
  </si>
  <si>
    <t>Chuyên viên / Nhân viên</t>
  </si>
  <si>
    <t>1.200.000</t>
  </si>
  <si>
    <t>Tỷ lệ thưởng thực hưởng theo mức độ hoàn thành KPI:</t>
  </si>
  <si>
    <t>Mức hoàn thành KPI</t>
  </si>
  <si>
    <t>Tỷ lệ hưởng trên khung thưởng</t>
  </si>
  <si>
    <t>Từ 95% - 100%</t>
  </si>
  <si>
    <t>100%</t>
  </si>
  <si>
    <t>Từ 85% - dưới 95%</t>
  </si>
  <si>
    <t>70%</t>
  </si>
  <si>
    <t>Từ 70% - dưới 85%</t>
  </si>
  <si>
    <t>40%</t>
  </si>
  <si>
    <t>Dưới 70%</t>
  </si>
  <si>
    <t>Không hưởng</t>
  </si>
  <si>
    <t>Ghi chú: Bộ chỉ tiêu KPI được xây dựng riêng cho từng phòng ban theo đặc thù công việc (ví dụ: Phòng Kế toán theo tiến độ, độ chính xác báo cáo; Phòng Chứng từ theo tỷ lệ chứng từ hoàn thành đúng hạn, không sai sót; Phòng OPS, Điều vận theo tỷ lệ lô hàng/chuyến giao đúng hạn, kiểm soát chi phí; Phòng Nhân sự theo tiến độ tuyển dụng, tỷ lệ nghỉ việc), do Trưởng phòng đề xuất và Giám đốc phê duyệt vào đầu mỗi quý.</t>
  </si>
  <si>
    <t>Điều 17. Các khoản thưởng khác</t>
  </si>
  <si>
    <t>Lương tháng 13, thưởng Tết, thưởng thâm niên, thưởng sáng kiến và các khoản thưởng khác thực hiện theo quy chế thưởng chung của Công ty và quy định của pháp luật lao động.</t>
  </si>
  <si>
    <t>Điều 18. Các trường hợp khấu trừ, bồi thường</t>
  </si>
  <si>
    <t>●       Gây thất thoát quỹ, sai sót nghiệp vụ kế toán, chi/thanh toán sai quy định do lỗi chủ quan, đã được xác định qua biên bản kiểm tra, kiểm quỹ: người lao động có trách nhiệm bồi thường theo giá trị thiệt hại thực tế.</t>
  </si>
  <si>
    <t>●       Làm hư hỏng, thất lạc thiết bị, tài sản, hồ sơ, chứng từ của Công ty do lỗi chủ quan: bồi thường theo mức thiệt hại thực tế trên cơ sở biên bản xác định.</t>
  </si>
  <si>
    <t>●       Chậm trễ xử lý chứng từ, khai báo, thủ tục thuộc trách nhiệm cá nhân do lỗi chủ quan làm phát sinh chi phí lưu container, lưu bãi, phạt hợp đồng hoặc thiệt hại khác cho Công ty/khách hàng: xử lý bồi thường theo mức độ thiệt hại thực tế trên cơ sở biên bản xác nhận.</t>
  </si>
  <si>
    <t>●       Vi phạm quy trình, quy định nội bộ gây ảnh hưởng đến uy tín, hoạt động kinh doanh của Công ty: xử lý kỷ luật lao động theo Nội quy lao động, kèm bồi thường thiệt hại thực tế phát sinh (nếu có).</t>
  </si>
  <si>
    <t>Điều 19. Giới hạn khấu trừ lương theo quy định pháp luật</t>
  </si>
  <si>
    <t>NÂNG BẬC LƯƠNG ĐỊNH KỲ</t>
  </si>
  <si>
    <t>Điều 20. Điều kiện, thời gian xét nâng bậc lương</t>
  </si>
  <si>
    <t>●       Việc xét nâng bậc lương định kỳ được thực hiện 01 lần/năm vào tháng 01 hằng năm, trên cơ sở: đủ thời gian giữ bậc lương hiện tại theo Điều 5, kết quả đánh giá hoàn thành công việc từ mức "Đạt yêu cầu" trở lên trong năm xét và không vi phạm kỷ luật lao động từ hình thức khiển trách trở lên trong năm đó.</t>
  </si>
  <si>
    <t>●       Trường hợp có thành tích xuất sắc, đóng góp nổi bật cho Công ty, Giám đốc xem xét, quyết định nâng bậc lương trước thời hạn theo đề xuất của Trưởng phòng và Phòng Nhân sự.</t>
  </si>
  <si>
    <t>Ví dụ 1 - Kế toán trưởng (Bậc 2):</t>
  </si>
  <si>
    <t>●       Lương cơ bản Bậc 2: 18.000.000 đồng</t>
  </si>
  <si>
    <t>●       Phụ cấp chức vụ: 2.000.000 đồng; phụ cấp ăn trưa: 730.000 đồng; phụ cấp điện thoại: 300.000 đồng</t>
  </si>
  <si>
    <t>●       Thưởng KPI tháng (hoàn thành 100% chỉ tiêu, khung thưởng 2.500.000 đồng): 2.500.000 đồng</t>
  </si>
  <si>
    <t>Tổng thu nhập tháng = 18.000.000 + 2.000.000 + 730.000 + 300.000 + 2.500.000 = 23.530.000 đồng</t>
  </si>
  <si>
    <t>Ví dụ 2 - Nhân viên Kinh doanh - Sales (Bậc 2):</t>
  </si>
  <si>
    <t>●       Lương cơ bản Bậc 2: 9.000.000 đồng</t>
  </si>
  <si>
    <t>●       Doanh thu khai thác trong tháng: 350.000.000 đồng, gồm: 200.000.000 đồng x 1,0% = 2.000.000 đồng; 150.000.000 đồng x 1,5% = 2.250.000 đồng → Hoa hồng = 4.250.000 đồng</t>
  </si>
  <si>
    <t>●       Phụ cấp ăn trưa 730.000 đồng; điện thoại 300.000 đồng; công tác - xăng xe 700.000 đồng</t>
  </si>
  <si>
    <t>Tổng thu nhập tháng = 9.000.000 + 4.250.000 + 730.000 + 300.000 + 700.000 = 14.980.000 đồng</t>
  </si>
  <si>
    <t>Ví dụ 3 - Nhân viên OPS (Bậc 2):</t>
  </si>
  <si>
    <t>●       Lương cơ bản Bậc 2: 9.500.000 đồng</t>
  </si>
  <si>
    <t>●       Hoàn thành 96% chỉ tiêu KPI trong tháng (khung thưởng nhân viên 1.200.000 đồng, tỷ lệ hưởng 100%): 1.200.000 đồng</t>
  </si>
  <si>
    <t>●       Phụ cấp ăn trưa 730.000 đồng; điện thoại 300.000 đồng; công tác 500.000 đồng</t>
  </si>
  <si>
    <t>Tổng thu nhập tháng = 9.500.000 + 1.200.000 + 730.000 + 300.000 + 500.000 = 12.230.000 đồng</t>
  </si>
  <si>
    <t>Ghi chú: Các số liệu doanh thu, KPI trong ví dụ trên chỉ mang tính chất minh họa cách tính, không phải số liệu thực tế áp dụng.</t>
  </si>
  <si>
    <t>Điều 21. Kỳ hạn trả lương</t>
  </si>
  <si>
    <t>●       Kỳ 2 (quyết toán): từ ngày 05 đến ngày 10 tháng liền kề, sau khi đã tổng hợp, đối chiếu doanh thu kinh doanh và kết quả đánh giá KPI của tháng trước, Công ty thanh toán phần còn lại gồm hoa hồng/thưởng KPI, phụ cấp, tiền thưởng khác sau khi trừ tạm ứng và các khoản khấu trừ (nếu có).</t>
  </si>
  <si>
    <t>Điều 22. Hình thức trả lương</t>
  </si>
  <si>
    <t>Lương được trả bằng tiền mặt hoặc chuyển khoản vào tài khoản ngân hàng do người lao động cung cấp. Người lao động được cung cấp phiếu lương thể hiện rõ các khoản: lương cơ bản, phụ cấp, hoa hồng/thưởng KPI, tiền thưởng khác, khoản khấu trừ, khoản bảo hiểm, thuế thu nhập cá nhân (nếu có) và số tiền thực nhận.</t>
  </si>
  <si>
    <t>Điều 23. Hiệu lực thi hành</t>
  </si>
  <si>
    <t>Quy chế này có hiệu lực kể từ ngày ký ban hành và thay thế các quy định về tiền lương trước đây trái với Quy chế này áp dụng đối với Ban Giám đốc và các phòng: Kế toán, Chứng từ, Kinh doanh - Chăm sóc khách hàng, OPS, Điều vận, Nhân sự của Công ty.</t>
  </si>
  <si>
    <t>Điều 24. Điều chỉnh, sửa đổi, bổ sung</t>
  </si>
  <si>
    <t>●       Tỷ lệ hoa hồng kinh doanh, khung thưởng KPI được Công ty rà soát, điều chỉnh định kỳ hằng năm hoặc khi có biến động lớn về chiến lược kinh doanh, phù hợp với tình hình sản xuất kinh doanh thực tế.</t>
  </si>
  <si>
    <t>BẢNG TỔNG HỢP QUY CHẾ TIỀN LƯƠNG</t>
  </si>
  <si>
    <t>(Trích yếu thang bảng lương, đơn giá, tỷ lệ hưởng - áp dụng từ 01/01/2026 theo Nghị định 293/2025/NĐ-CP về lương tối thiểu vùng)</t>
  </si>
  <si>
    <t>I. LƯƠNG LÁI XE THEO DOANH THU</t>
  </si>
  <si>
    <t>II. LƯƠNG LÁI XE THEO CHUYẾN</t>
  </si>
  <si>
    <t>III. LƯƠNG KHỐI VĂN PHÒNG</t>
  </si>
  <si>
    <t>1. Lương cơ bản - Tài xế xe container</t>
  </si>
  <si>
    <t>1. Lương cơ bản - Xe đầu kéo (cont/fooc/mooc)</t>
  </si>
  <si>
    <t>1. Thang lương theo chức danh</t>
  </si>
  <si>
    <t>Thâm niên</t>
  </si>
  <si>
    <t>Lương CB</t>
  </si>
  <si>
    <t>B1</t>
  </si>
  <si>
    <t>B2</t>
  </si>
  <si>
    <t>B3-4</t>
  </si>
  <si>
    <t>B3</t>
  </si>
  <si>
    <t>1</t>
  </si>
  <si>
    <t>Dưới 1 năm</t>
  </si>
  <si>
    <t>Container</t>
  </si>
  <si>
    <t>8.500-9.500.000</t>
  </si>
  <si>
    <t>P.Giám đốc</t>
  </si>
  <si>
    <t>2</t>
  </si>
  <si>
    <t>1-3 năm</t>
  </si>
  <si>
    <t>Fooc</t>
  </si>
  <si>
    <t>8.700-9.700.000</t>
  </si>
  <si>
    <t>3</t>
  </si>
  <si>
    <t>3-5 năm</t>
  </si>
  <si>
    <t>Mooc</t>
  </si>
  <si>
    <t>8.600-9.600.000</t>
  </si>
  <si>
    <t>4</t>
  </si>
  <si>
    <t>Trên 5 năm</t>
  </si>
  <si>
    <t>2. Lương cơ bản - Xe tải / Phụ xe</t>
  </si>
  <si>
    <t>2. Lương cơ bản - Tài xế xe tải</t>
  </si>
  <si>
    <t>KT thanh toán-thủ quỹ</t>
  </si>
  <si>
    <t>B1/B2</t>
  </si>
  <si>
    <t>Tải nhẹ (&lt;3,5T)</t>
  </si>
  <si>
    <t>TP Chứng từ</t>
  </si>
  <si>
    <t>Nhẹ (&lt;3,5T)</t>
  </si>
  <si>
    <t>5.300.000-6.000.000</t>
  </si>
  <si>
    <t>Tải trung (3,5-8T)</t>
  </si>
  <si>
    <t>NV chứng từ</t>
  </si>
  <si>
    <t>Trung (3,5-8T)</t>
  </si>
  <si>
    <t>6.000.000-6.700.000</t>
  </si>
  <si>
    <t>Tải nặng (&gt;8T)</t>
  </si>
  <si>
    <t>TP Kinh doanh</t>
  </si>
  <si>
    <t>Nặng (&gt;8T)</t>
  </si>
  <si>
    <t>6.700.000-7.400.000</t>
  </si>
  <si>
    <t>Phụ xe (B1/B2/B3)</t>
  </si>
  <si>
    <t>NV Kinh doanh (Sales)</t>
  </si>
  <si>
    <t>3. Lương cơ bản - Phụ xe</t>
  </si>
  <si>
    <t>3. Đơn giá khoán theo cung đường (VD)</t>
  </si>
  <si>
    <t>NV CSKH</t>
  </si>
  <si>
    <t>Cung đường</t>
  </si>
  <si>
    <t>Đầu kéo</t>
  </si>
  <si>
    <t>Xe tải</t>
  </si>
  <si>
    <t>Phụ xe</t>
  </si>
  <si>
    <t>TP OPS</t>
  </si>
  <si>
    <t>Mới/thử việc</t>
  </si>
  <si>
    <t>Nội thành (&lt;50km)</t>
  </si>
  <si>
    <t>NV OPS</t>
  </si>
  <si>
    <t>HCM-Cần Thơ/VT (150-200km)</t>
  </si>
  <si>
    <t>TP Điều vận</t>
  </si>
  <si>
    <t>Trên 3 năm</t>
  </si>
  <si>
    <t>HCM-Nha Trang/Q.Nhơn(400-600km)</t>
  </si>
  <si>
    <t>NV Điều vận</t>
  </si>
  <si>
    <t>4. Tỷ lệ (%) hưởng theo doanh thu (lũy tiến)</t>
  </si>
  <si>
    <t>HCM-Đà Nẵng (~950km)</t>
  </si>
  <si>
    <t>TP Nhân sự</t>
  </si>
  <si>
    <t>Mức doanh thu/tháng</t>
  </si>
  <si>
    <t>Tỷ lệ</t>
  </si>
  <si>
    <t>HCM-Hà Nội/HP (~1.700km)</t>
  </si>
  <si>
    <t>CV Nhân sự-HC</t>
  </si>
  <si>
    <t>Đến 80tr / 80-150tr / &gt;150tr</t>
  </si>
  <si>
    <t>4,0% / 5,0% / 6,0%</t>
  </si>
  <si>
    <t>4. Đơn giá khoán theo km thực chạy (đ/km có hàng)</t>
  </si>
  <si>
    <t>2. Phụ cấp chức vụ / khác</t>
  </si>
  <si>
    <t>Đến 50tr / 50-100tr / &gt;100tr</t>
  </si>
  <si>
    <t>Đ.giá/km</t>
  </si>
  <si>
    <t>Mức</t>
  </si>
  <si>
    <t>Phụ xe theo cont.</t>
  </si>
  <si>
    <t>Trên doanh thu chuyến</t>
  </si>
  <si>
    <t>Đầu kéo (cont/fooc/mooc)</t>
  </si>
  <si>
    <t>9.500đ</t>
  </si>
  <si>
    <t>PGĐ / KTT / TP</t>
  </si>
  <si>
    <t>3tr / 2tr / 1,5tr</t>
  </si>
  <si>
    <t>Phụ xe theo tải</t>
  </si>
  <si>
    <t>Tải nhẹ / trung / nặng</t>
  </si>
  <si>
    <t>6.000-8.500đ</t>
  </si>
  <si>
    <t>Ăn trưa (toàn VP)</t>
  </si>
  <si>
    <t>Công thức: Tổng thu nhập = Lương CB + Lương theo DT + Phụ cấp + Thưởng - Khấu trừ. Nguồn: QUY CHẾ TIỀN LƯƠNG LX THEO DT.</t>
  </si>
  <si>
    <t>Phụ xe (chung)</t>
  </si>
  <si>
    <t>2.500đ</t>
  </si>
  <si>
    <t>200-500k/th</t>
  </si>
  <si>
    <t>Chuyến rỗng = 50% đơn giá (trừ lỗi Cty = 100%). Hàng quá khổ/quá tải +10% đơn giá. Nguồn: QUY CHẾ LƯƠNG LX THEO CHUYẾN.</t>
  </si>
  <si>
    <t>Gửi xe, đi lại</t>
  </si>
  <si>
    <t>200.000đ/th</t>
  </si>
  <si>
    <t>Công tác, xăng xe</t>
  </si>
  <si>
    <t>500k-1tr/th</t>
  </si>
  <si>
    <t>3. Hoa hồng kinh doanh (Sales/TP.KD, lũy tiến)</t>
  </si>
  <si>
    <t>Doanh thu/tháng</t>
  </si>
  <si>
    <t>Đến 200tr</t>
  </si>
  <si>
    <t>200-500tr</t>
  </si>
  <si>
    <t>Trên 500tr</t>
  </si>
  <si>
    <t>4. Thưởng KPI (KT, Chứng từ, CSKH, OPS, Điều vận, NS)</t>
  </si>
  <si>
    <t>Khung thưởng</t>
  </si>
  <si>
    <t>TP/KTT: 2,5tr</t>
  </si>
  <si>
    <t>NV: 1,2tr</t>
  </si>
  <si>
    <t>≥95-100% KPI</t>
  </si>
  <si>
    <t>100% khung</t>
  </si>
  <si>
    <t>85-&lt;95% KPI</t>
  </si>
  <si>
    <t>70% khung</t>
  </si>
  <si>
    <t>70-&lt;85% KPI</t>
  </si>
  <si>
    <t>40% khung</t>
  </si>
  <si>
    <t>&lt;70% KPI</t>
  </si>
  <si>
    <t>Sales/TP.KD hưởng hoa hồng, không đồng thời hưởng KPI. Nguồn: QUY CHẾ LƯƠNG VP.</t>
  </si>
  <si>
    <t>Ghi chú chung: Bảng trên là bản trích yếu các thông số áp dụng để tính lương; toàn văn quy chế (đối tượng áp dụng, nguyên tắc, khấu trừ, kỳ hạn trả lương...) xem tại các sheet "QUY CHẾ TIỀN LƯƠNG LX THEO DT", "QUY CHẾ LƯƠNG LX THEO CHUYẾN", "QUY CHẾ LƯƠNG VP".</t>
  </si>
  <si>
    <t>PHÒNG NHÂN SỰ</t>
  </si>
  <si>
    <t>CÔNG TY TNHH VẬN TẢI ……………………………</t>
  </si>
  <si>
    <t>THANG BẢNG LƯƠNG THAM KHẢO THEO CHỨC DANH</t>
  </si>
  <si>
    <t>Xây dựng theo Điều 93 Bộ luật Lao động 2019; căn cứ mức lương thực trả tại công ty…................... và mức lương tối thiểu vùng hiện hành.</t>
  </si>
  <si>
    <t>Mức lương tối thiểu vùng áp dụng (Vùng I):</t>
  </si>
  <si>
    <t>đồng/tháng — theo Nghị định 293/2025/NĐ-CP, hiệu lực từ 01/01/2026</t>
  </si>
  <si>
    <t>Loại lao động / Điều kiện</t>
  </si>
  <si>
    <t>Bậc lương</t>
  </si>
  <si>
    <t>Hệ số lương</t>
  </si>
  <si>
    <t>Mức lương
(đồng/tháng)</t>
  </si>
  <si>
    <t>Đang áp dụng
(T7/2026)</t>
  </si>
  <si>
    <t>I. GIÁM ĐỐC / QUẢN LÝ</t>
  </si>
  <si>
    <t>Quản lý, điều hành</t>
  </si>
  <si>
    <t>Đang áp dụng</t>
  </si>
  <si>
    <t>Bằng mức đang trả (Giám Đốc) theo Bảng lương 2026</t>
  </si>
  <si>
    <t>+7.8% so với Bậc 1</t>
  </si>
  <si>
    <t>+8.2% so với Bậc 2</t>
  </si>
  <si>
    <t>II. BỘ PHẬN KẾ TOÁN</t>
  </si>
  <si>
    <t>Lao động gián tiếp
(qua đào tạo)</t>
  </si>
  <si>
    <t>≥ LTT vùng I +7% cho LĐ qua đào tạo — tương đương mức đang trả</t>
  </si>
  <si>
    <t>+6.1% so với Bậc 1</t>
  </si>
  <si>
    <t>+5.8% so với Bậc 2</t>
  </si>
  <si>
    <t>+6.2% so với Bậc 3</t>
  </si>
  <si>
    <t>Bậc 5</t>
  </si>
  <si>
    <t>+5.9% so với Bậc 4</t>
  </si>
  <si>
    <t>III. BỘ PHẬN CHỨNG TỪ</t>
  </si>
  <si>
    <t>IV. BỘ PHẬN NHÂN SỰ</t>
  </si>
  <si>
    <t>V. BỘ PHẬN CUS</t>
  </si>
  <si>
    <t>VI. BỘ PHẬN ĐIỀU HÀNH</t>
  </si>
  <si>
    <t>VII. NHÂN VIÊN KINH DOANH</t>
  </si>
  <si>
    <t>Lao động trực tiếp
(phổ thông)</t>
  </si>
  <si>
    <t>Bằng mức lương tối thiểu vùng I (sàn tối thiểu, chưa qua đào tạo)</t>
  </si>
  <si>
    <t>+6.1% so với Bậc 2</t>
  </si>
  <si>
    <t>+5.8% so với Bậc 3</t>
  </si>
  <si>
    <t>+6.2% so với Bậc 4</t>
  </si>
  <si>
    <t>VIII. TÀI XẾ XE TẢI</t>
  </si>
  <si>
    <t>Lao động qua đào tạo
(có GPLX phù hợp)</t>
  </si>
  <si>
    <t>≥ LTT vùng I +7% cho LĐ qua đào tạo — = mức năm 2026</t>
  </si>
  <si>
    <t>IX. BỘ PHẬN BỐC XẾP, PHỤ XE</t>
  </si>
  <si>
    <t>+7.3% so với Bậc 1</t>
  </si>
  <si>
    <t>Nguyên tắc xây dựng thang lương, bảng lương (Điều 93 Bộ luật Lao động 2019):</t>
  </si>
  <si>
    <t>- Mức lương thấp nhất của công việc/chức danh giản đơn nhất (Bộ Phận bốc xếp, Bậc 1) không thấp hơn mức lương tối thiểu vùng.</t>
  </si>
  <si>
    <t>- Mức lương thấp nhất của công việc đòi hỏi lao động đã qua đào tạo, học nghề (Nhân viên kinh doanh, Tài xế) cao hơn ít nhất 7% so với mức lương tối thiểu vùng.</t>
  </si>
  <si>
    <t>- Khoảng cách giữa hai bậc lương liền kề bảo đảm khuyến khích người lao động nâng cao trình độ, tối thiểu 5%/bậc (thang lương trên áp dụng khoảng 6%/bậc).</t>
  </si>
  <si>
    <t>- Thang bảng lương do doanh nghiệp tự xây dựng, tham khảo ý kiến tổ chức đại diện người lao động (nếu có) và công bố công khai tại nơi làm việc trước khi thực hiện.</t>
  </si>
  <si>
    <t>Số: …/QĐ-…</t>
  </si>
  <si>
    <t>……, ngày … tháng .. năm 2026</t>
  </si>
  <si>
    <t>QUYẾT ĐỊNH</t>
  </si>
  <si>
    <t>V/v áp dụng hình thức trả lương theo vị trí công việc</t>
  </si>
  <si>
    <t>GIÁM ĐỐC CÔNG TY …..</t>
  </si>
  <si>
    <t>- Căn cứ Bộ luật Lao động số 45/2019/QH14 ngày 20/11/2019;</t>
  </si>
  <si>
    <t>- Căn cứ Nghị định số 145/2020/NĐ-CP ngày 14/12/2020 của Chính phủ quy định chi tiết và hướng dẫn thi hành một số điều của Bộ luật Lao động về điều kiện lao động và quan hệ lao động;</t>
  </si>
  <si>
    <t>- Căn cứ Luật Thuế thu nhập cá nhân số 109/2025/QH15 ngày 10/12/2025 (áp dụng đối với thu nhập từ tiền lương, tiền công từ kỳ tính thuế năm 2026);</t>
  </si>
  <si>
    <t>- Căn cứ Điều lệ tổ chức và hoạt động của Công ty;</t>
  </si>
  <si>
    <t>- Căn cứ Quy chế lương, thưởng và Thang bảng lương do Công ty ban hành;</t>
  </si>
  <si>
    <t>- Căn cứ Bảng chấm công, Bảng tính - thanh toán tiền lương hằng tháng của Công ty;</t>
  </si>
  <si>
    <t>- Căn cứ tình hình hoạt động sản xuất, kinh doanh thực tế của Công ty;</t>
  </si>
  <si>
    <t>- Xét đề nghị của Phòng Kế toán và Phòng Hành chính - Nhân sự,</t>
  </si>
  <si>
    <t>QUYẾT ĐỊNH:</t>
  </si>
  <si>
    <t>Điều 1. Áp dụng hình thức trả lương theo từng vị trí công việc kể từ kỳ lương các tháng như sau:</t>
  </si>
  <si>
    <t>1. Bộ phận Tài xế xe tải</t>
  </si>
  <si>
    <t>Lương thực trả = Lương cố định + Lương chuyến + Phụ cấp, cụ thể:</t>
  </si>
  <si>
    <t>- Lương cố định: theo Bậc lương quy định tại Thang bảng lương của Công ty (sheet 'THANG BẢNG LƯƠNG'), tính theo số ngày công thực tế trên Bảng chấm công.</t>
  </si>
  <si>
    <t>- Lương chuyến: tính theo định mức/chuyến và số chuyến hoàn thành thực tế trong tháng, theo bảng theo dõi định mức chuyến (sheet 'Bonus').</t>
  </si>
  <si>
    <t>- Phụ cấp: phụ cấp điện thoại, gửi xe, trách nhiệm (nếu có) theo mức quy định tại Quy chế lương của Công ty.</t>
  </si>
  <si>
    <t>2. Bộ phận Bốc xếp</t>
  </si>
  <si>
    <t>Lương thực trả = Lương cố định + Tiền tăng ca + Phụ cấp, cụ thể:</t>
  </si>
  <si>
    <t>- Lương cố định: theo Bậc lương quy định tại Thang bảng lương của Công ty, tính theo số ngày công thực tế trên Bảng chấm công.</t>
  </si>
  <si>
    <t>- Tiền tăng ca: tính theo Điều 98 Bộ luật Lao động 2019 và Điều 55 Nghị định 145/2020/NĐ-CP, bằng Đơn giá tiền lương giờ thực trả của ngày làm việc bình thường (Lương cố định ÷ (Số ngày công thực tế trong tháng × 8 giờ)) nhân với số giờ làm thêm thực tế và mức tối thiểu tương ứng: 150% đối với giờ làm thêm ngày làm việc bình thường, 200% đối với giờ làm thêm ngày nghỉ hằng tuần, 300% đối với giờ làm thêm ngày nghỉ lễ, Tết, ngày nghỉ có hưởng lương (chưa kể lương ngày đó); làm thêm vào ban đêm (22 giờ - 6 giờ) được cộng thêm theo khoản 2, khoản 3 Điều 98. Tổng số giờ làm thêm không quá 40 giờ/tháng và 200 giờ/năm (tối đa 300 giờ/năm nếu Công ty thuộc trường hợp được phép theo Nghị định 145/2020/NĐ-CP).</t>
  </si>
  <si>
    <t>- Từ kỳ tính thuế năm 2026, toàn bộ tiền lương làm thêm giờ nêu trên được miễn thuế thu nhập cá nhân theo khoản 8 Điều 4 Luật Thuế thu nhập cá nhân số 109/2025/QH15.</t>
  </si>
  <si>
    <t>- Phụ cấp: phụ cấp điện thoại, trách nhiệm (nếu có), tiền ăn trưa,theo mức quy định tại Quy chế lương của Công ty.</t>
  </si>
  <si>
    <t>-Thưởng hiệu suất / Thưởng sản lượng: Khoản thưởng dựa trên khối lượng hàng hóa thực tế bốc xếp vượt định mức hoặc hoàn thành xuất sắc tiến độ công việc 10% trên tổng khối lượng</t>
  </si>
  <si>
    <t>3. Bộ phận Nhân viên kinh doanh</t>
  </si>
  <si>
    <t>Lương thực trả = Lương cố định + Lương theo hiệu suất công việc + Phụ cấp, cụ thể:</t>
  </si>
  <si>
    <t>- Lương theo hiệu suất công việc: tính theo kết quả, doanh số và mức độ hoàn thành công việc thực tế trong tháng, theo Quy chế thưởng kinh doanh của Công ty (sheet 'Bonus').</t>
  </si>
  <si>
    <t>- Phụ cấp: phụ cấp điện thoại, trách nhiệm (nếu có) theo mức quy định tại Quy chế lương của Công ty.</t>
  </si>
  <si>
    <t>Điều 2. Mức lương cố định cụ thể của từng vị trí căn cứ theo Bậc lương cá nhân đã xếp tại Thang bảng lương (sheet 'THANG BẢNG LƯƠNG'); các khoản lương chuyến, tiền tăng ca, lương hiệu suất công việc và phụ cấp được tính chi tiết hằng tháng tại Bảng tính - thanh toán tiền lương (sheet 'Bảng lương') cùng các bảng theo dõi liên quan (Bảng chấm công, Bonus).</t>
  </si>
  <si>
    <t>Điều 3. Quyết định này có hiệu lực kể từ ngày … tháng ... năm 2026. Phòng Kế toán, Phòng Hành chính - Nhân sự, Trưởng các bộ phận Tài xế, Bốc xếp, Kinh doanh và người lao động có liên quan chịu trách nhiệm thi hành Quyết định này.</t>
  </si>
  <si>
    <t>Nơi nhận:</t>
  </si>
  <si>
    <t>- Như Điều 3;</t>
  </si>
  <si>
    <t>(Ký, ghi rõ họ tên, đóng dấu)</t>
  </si>
  <si>
    <t>- Lưu: VT, HC-NS.</t>
  </si>
  <si>
    <t>CÔNG TY TNHH …..........</t>
  </si>
  <si>
    <t>Số: 27/QĐ-…..</t>
  </si>
  <si>
    <t>…............, ngày 01 tháng 01 năm 2026</t>
  </si>
  <si>
    <t>(V/v: Áp dụng định mức lương và cách tính lương</t>
  </si>
  <si>
    <t>cho Nhân viên Kinh doanh năm 2026)</t>
  </si>
  <si>
    <t>- Căn cứ Giấy chứng nhận đăng ký kinh doanh số: ......................................;</t>
  </si>
  <si>
    <t>- Căn cứ Điều lệ tổ chức và hoạt động của Công ty TNHH …...............;</t>
  </si>
  <si>
    <t>- Căn cứ tình hình hoạt động thực tế và nhu cầu quản lý nhân sự của Công ty;</t>
  </si>
  <si>
    <t>GIÁM ĐỐC CÔNG TY TNHH ….........</t>
  </si>
  <si>
    <t>Điều 1. Mức lương cố định và các khoản phụ cấp áp dụng đối với Nhân viên Kinh doanh</t>
  </si>
  <si>
    <t>1. Lương cơ bản: 5.700.000 đồng/tháng (làm cơ sở tính đóng BHXH, BHYT, BHTN)</t>
  </si>
  <si>
    <t>2. Phụ cấp trách nhiệm: 500.000 đồng/tháng</t>
  </si>
  <si>
    <t>3. Phụ cấp tiền ăn trưa: 1.000.000 đồng/tháng</t>
  </si>
  <si>
    <t>4. Phụ cấp điện thoại: 500.000 đồng/tháng</t>
  </si>
  <si>
    <t>5. Định mức lương kinh doanh (theo doanh số/lương chuyến): tính theo kết quả kinh doanh thực tế hàng tháng của từng nhân viên</t>
  </si>
  <si>
    <t>6. Thưởng (nếu có): theo hiệu quả công việc và quy định khen thưởng của Công ty</t>
  </si>
  <si>
    <t>Điều 2. Ngày công tính lương</t>
  </si>
  <si>
    <t>- Ngày công chuẩn: 26 công/tháng</t>
  </si>
  <si>
    <t>- Ngày công thực tế: căn cứ theo Bảng chấm công hàng tháng</t>
  </si>
  <si>
    <t>- Các khoản lương cố định tại Mục 1, 2, 3, 4 Điều 1 được thanh toán theo tỷ lệ: Công thực tế / Công chuẩn</t>
  </si>
  <si>
    <t>Điều 3. Cách tính lương</t>
  </si>
  <si>
    <t>1. Tổng lương thực tế = (Lương cơ bản + Phụ cấp trách nhiệm + Phụ cấp ăn trưa + Phụ cấp điện thoại) x (Công thực tế/Công chuẩn) + Định mức lương kinh doanh + Thưởng</t>
  </si>
  <si>
    <t>2. Các khoản trích nộp bảo hiểm (tính trên mức Lương cơ bản 5.700.000 đồng):</t>
  </si>
  <si>
    <t xml:space="preserve">     a) Phần Công ty đóng, tính vào chi phí doanh nghiệp: BHXH 17,5% + BHYT 3% + BHTN 1% = 21,5%/tháng</t>
  </si>
  <si>
    <t xml:space="preserve">     b) Phần Người lao động đóng, trừ vào lương: BHXH 8% + BHYT 1,5% + BHTN 1% = 10,5%/tháng</t>
  </si>
  <si>
    <t>3. Thuế thu nhập cá nhân (nếu có): khấu trừ theo quy định pháp luật hiện hành, tính trên thu nhập chịu thuế thực tế</t>
  </si>
  <si>
    <t>4. Tạm ứng và các khoản trừ khác (nếu có): trừ trực tiếp vào lương của tháng phát sinh khoản tạm ứng</t>
  </si>
  <si>
    <t>5. Thực lĩnh = Tổng lương thực tế – (10,5% BHXH/BHYT/BHTN người lao động + Thuế TNCN (nếu có) + Tạm ứng + Các khoản trừ khác)</t>
  </si>
  <si>
    <t>Điều 4. Thời gian và hình thức trả lương</t>
  </si>
  <si>
    <t>- Lương được thanh toán 01 lần/tháng, chậm nhất vào ngày 10 của tháng kế tiếp</t>
  </si>
  <si>
    <t>- Hình thức thanh toán: chuyển khoản qua ngân hàng hoặc tiền mặt</t>
  </si>
  <si>
    <t>Điều 5. Tổ chức thực hiện</t>
  </si>
  <si>
    <t>- Phòng Kế toán, Phòng Nhân sự và các cá nhân, bộ phận có liên quan chịu trách nhiệm thi hành Quyết định này</t>
  </si>
  <si>
    <t>- Quyết định này có hiệu lực thi hành kể từ ngày ký</t>
  </si>
  <si>
    <t>- Như Điều 5;</t>
  </si>
  <si>
    <t>(Ký, đóng dấu và ghi rõ họ tên)</t>
  </si>
  <si>
    <t>- Lưu VT.</t>
  </si>
  <si>
    <t>CÔNG TY TNHH ….........</t>
  </si>
  <si>
    <t>Số: 26/QĐ-DHBN</t>
  </si>
  <si>
    <t>….............., ngày 01 tháng 01 năm 2026</t>
  </si>
  <si>
    <t>(V/v: Áp dụng định mức lương</t>
  </si>
  <si>
    <t>cho đội xe tải năm 2026)</t>
  </si>
  <si>
    <t>- Căn cứ Điều lệ tổ chức và hoạt động của Công ty TNHH …..............;</t>
  </si>
  <si>
    <t>- Căn cứ tình hình hoạt động thực tế của Công ty TNHH …..................;</t>
  </si>
  <si>
    <t>GIÁM ĐỐC CÔNG TY TNHH…...........</t>
  </si>
  <si>
    <t>Điều 1. Mức lương và lương chuyến (Xe tải 2 tấn và 4 tấn)</t>
  </si>
  <si>
    <t>1. Lương cố định:</t>
  </si>
  <si>
    <t xml:space="preserve">    - Lương cơ bản: 5.700.000 đồng/tháng</t>
  </si>
  <si>
    <t>2. Hỗ trợ tiền điện thoại: 500.000 đồng/tháng</t>
  </si>
  <si>
    <t>3. Hỗ trợ tiền ăn: 1.000.000 đồng/tháng</t>
  </si>
  <si>
    <t>4. Hỗ trợ trách nhiệm: 1.000.000 đồng/tháng</t>
  </si>
  <si>
    <t>5. Lương chuyến dựa tình hình thực tế cung đường chạy để công tự đưa ra mức lương chuyến với lái xe</t>
  </si>
  <si>
    <t>Điều 2. Quy định đối với lái xe</t>
  </si>
  <si>
    <t>1. Yêu cầu chung</t>
  </si>
  <si>
    <t>- Lái xe phải có đầy đủ giấy phép lái xe phù hợp với loại phương tiện điều khiển</t>
  </si>
  <si>
    <t>- Nắm vững và tuân thủ luật giao thông đường bộ, quy định của công ty và các quy định pháp luật có liên quan</t>
  </si>
  <si>
    <t>- Không sử dụng rượu bia, chất kích thích trong và trước khi làm việc</t>
  </si>
  <si>
    <t>- Luôn giữ tác phong nghiêm túc, thái độ lịch sự, hợp tác với đối tác khách hàng và đồng nghiệp</t>
  </si>
  <si>
    <t>2. Kiểm tra và bảo dưỡng xe</t>
  </si>
  <si>
    <t>- Trước khi xuất phát, lái xe phải kiểm tra tình trạng kỹ thuật xe (phanh, đèn, còi, lốp, nhiên liệu,...)</t>
  </si>
  <si>
    <t>- Phát hiện và báo cáo kịp thời các hư hỏng hoặc sự cố kỹ thuật</t>
  </si>
  <si>
    <t>- Không tự ý sửa chữa xe nếu không có sự cho phép của cấp trên hoặc bộ phận kỹ thuật</t>
  </si>
  <si>
    <t>- Thực hiện bảo dưỡng định kỳ theo hướng dẫn</t>
  </si>
  <si>
    <t>3. Quản lý hàng hóa</t>
  </si>
  <si>
    <t>- Chịu trách nhiệm kiểm tra hàng hóa trước khi lên xe và bảo quản hàng hóa trong suốt quá trình vận chuyển. Khi có dấu hiệu hàng hóa bất thường phải báo ngay cho bộ phận điều vận và người có liên quan</t>
  </si>
  <si>
    <t>- Không tự ý mở hàng hóa, thay đổi vị trí xếp hàng nếu không có sự cho phép</t>
  </si>
  <si>
    <t>4. Thời gian và hành trình</t>
  </si>
  <si>
    <t>- Tuân thủ lịch trình do điều phối viên và Ban Giám đốc giao</t>
  </si>
  <si>
    <t>- Không tự ý thay đổi lộ trình hoặc sử dụng xe vào mục đích cá nhân</t>
  </si>
  <si>
    <t>- Báo cáo ngay nếu có sự cố hoặc thay đổi trên đường</t>
  </si>
  <si>
    <t>5. Ứng xử và an toàn</t>
  </si>
  <si>
    <t>- Giữ thái độ hòa nhã với khách hàng, đối tác, đồng nghiệp</t>
  </si>
  <si>
    <t>- Không gây gổ, xích mích trong quá trình làm việc</t>
  </si>
  <si>
    <t>- Luôn thắt dây an toàn khi lái xe</t>
  </si>
  <si>
    <t>- Không cho người không có trách nhiệm đi theo xe khi chưa có sự cho phép</t>
  </si>
  <si>
    <t>Điều 3. Thời gian và hình thức trả lương</t>
  </si>
  <si>
    <t>Điều 4. Tổ chức thực hiện</t>
  </si>
  <si>
    <t>- Bộ phận Kế toán có trách nhiệm triển khai thực hiện theo Quyết định trên</t>
  </si>
  <si>
    <t>Lao động trực tiếp
(qua đào tạo)</t>
  </si>
  <si>
    <t>730.000đ/th-1.2tr/th</t>
  </si>
  <si>
    <t>CÔNG TY TNHH VẬN TẢI ĐẠI LỘ XANH</t>
  </si>
  <si>
    <t>Địa chỉ: Số nhà 306, Đường 303, Thôn Giã Bàng, Xã Tề Lỗ, Tỉnh Phú Thọ</t>
  </si>
  <si>
    <t>CÔNG TY TNHH ĐẠI LỘ XANH</t>
  </si>
  <si>
    <t>Phú Thọ, năm 2026</t>
  </si>
  <si>
    <t>NGUYỄN KIM QUYẾT</t>
  </si>
  <si>
    <t>NGUYỄN VĂN LỢI</t>
  </si>
  <si>
    <t>Mẹ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</si>
</sst>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_);_(* \(#,##0.00\);_(* \-??_);_(@_)"/>
    <numFmt numFmtId="165" formatCode="00"/>
    <numFmt numFmtId="166" formatCode="_-* #,##0.00\ _₫_-;\-* #,##0.00\ _₫_-;_-* \-??\ _₫_-;_-@_-"/>
    <numFmt numFmtId="167" formatCode="_(* #,##0_);_(* \(#,##0\);_(* \-??_);_(@_)"/>
    <numFmt numFmtId="168" formatCode="m/d/yyyy"/>
    <numFmt numFmtId="169" formatCode="#,##0.0"/>
    <numFmt numFmtId="170" formatCode="&quot;THÁNG &quot;mm&quot; NĂM &quot;yyyy"/>
    <numFmt numFmtId="171" formatCode="dd"/>
    <numFmt numFmtId="172" formatCode="0.0%"/>
    <numFmt numFmtId="173" formatCode="_(* #,##0.0_);_(* \(#,##0.0\);_(* \-??_);_(@_)"/>
    <numFmt numFmtId="174" formatCode="#,##0.000"/>
    <numFmt numFmtId="175" formatCode="@*."/>
    <numFmt numFmtId="176" formatCode="#,##0;\(#,##0\);\-"/>
  </numFmts>
  <fonts count="91" x14ac:knownFonts="1">
    <font>
      <sz val="11"/>
      <color theme="1"/>
      <name val="Calibri"/>
      <family val="2"/>
      <charset val="1"/>
    </font>
    <font>
      <sz val="10"/>
      <name val="Arial"/>
      <family val="2"/>
    </font>
    <font>
      <sz val="11"/>
      <color rgb="FF000000"/>
      <name val="Calibri"/>
      <family val="2"/>
      <charset val="1"/>
    </font>
    <font>
      <sz val="12"/>
      <name val=".VnTime"/>
      <family val="2"/>
      <charset val="1"/>
    </font>
    <font>
      <sz val="10"/>
      <color theme="1"/>
      <name val="Times New Roman"/>
      <family val="1"/>
      <charset val="1"/>
    </font>
    <font>
      <b/>
      <sz val="11"/>
      <name val="Times New Roman"/>
      <family val="1"/>
      <charset val="1"/>
    </font>
    <font>
      <sz val="11"/>
      <name val="Times New Roman"/>
      <family val="1"/>
      <charset val="1"/>
    </font>
    <font>
      <b/>
      <sz val="14"/>
      <color theme="1"/>
      <name val="Times New Roman"/>
      <family val="1"/>
      <charset val="1"/>
    </font>
    <font>
      <b/>
      <sz val="10"/>
      <color theme="0"/>
      <name val="Times New Roman"/>
      <family val="1"/>
      <charset val="1"/>
    </font>
    <font>
      <sz val="10"/>
      <color theme="0"/>
      <name val="Times New Roman"/>
      <family val="1"/>
      <charset val="1"/>
    </font>
    <font>
      <b/>
      <sz val="10"/>
      <color theme="1"/>
      <name val="Times New Roman"/>
      <family val="1"/>
      <charset val="1"/>
    </font>
    <font>
      <b/>
      <sz val="10"/>
      <name val="Times New Roman"/>
      <family val="1"/>
      <charset val="1"/>
    </font>
    <font>
      <sz val="10"/>
      <name val="Times New Roman"/>
      <family val="1"/>
      <charset val="1"/>
    </font>
    <font>
      <b/>
      <sz val="15"/>
      <name val="Times New Roman"/>
      <family val="1"/>
      <charset val="1"/>
    </font>
    <font>
      <b/>
      <sz val="11"/>
      <color theme="0"/>
      <name val="Times New Roman"/>
      <family val="1"/>
      <charset val="1"/>
    </font>
    <font>
      <b/>
      <sz val="10"/>
      <color rgb="FFFFFFFF"/>
      <name val="Times New Roman"/>
      <family val="1"/>
      <charset val="1"/>
    </font>
    <font>
      <sz val="11"/>
      <color theme="0"/>
      <name val="Times New Roman"/>
      <family val="1"/>
      <charset val="1"/>
    </font>
    <font>
      <sz val="11"/>
      <color theme="1"/>
      <name val="Times New Roman"/>
      <family val="1"/>
      <charset val="1"/>
    </font>
    <font>
      <sz val="11"/>
      <color rgb="FFFF0000"/>
      <name val="Times New Roman"/>
      <family val="1"/>
      <charset val="1"/>
    </font>
    <font>
      <b/>
      <i/>
      <sz val="10"/>
      <name val="Times New Roman"/>
      <family val="1"/>
      <charset val="1"/>
    </font>
    <font>
      <b/>
      <sz val="9"/>
      <name val="Times New Roman"/>
      <family val="1"/>
      <charset val="1"/>
    </font>
    <font>
      <sz val="11"/>
      <color rgb="FF000000"/>
      <name val="Times New Roman"/>
      <family val="1"/>
      <charset val="1"/>
    </font>
    <font>
      <i/>
      <sz val="11"/>
      <color rgb="FF000000"/>
      <name val="Times New Roman"/>
      <family val="1"/>
      <charset val="1"/>
    </font>
    <font>
      <b/>
      <sz val="11"/>
      <color rgb="FFFF0000"/>
      <name val="Times New Roman"/>
      <family val="1"/>
      <charset val="1"/>
    </font>
    <font>
      <i/>
      <sz val="11"/>
      <name val="Times New Roman"/>
      <family val="1"/>
      <charset val="1"/>
    </font>
    <font>
      <b/>
      <sz val="11"/>
      <color rgb="FF000000"/>
      <name val="Times New Roman"/>
      <family val="1"/>
      <charset val="1"/>
    </font>
    <font>
      <b/>
      <sz val="10"/>
      <color rgb="FFFF0000"/>
      <name val="Times New Roman"/>
      <family val="1"/>
      <charset val="1"/>
    </font>
    <font>
      <b/>
      <sz val="11"/>
      <color theme="1"/>
      <name val="Times New Roman"/>
      <family val="1"/>
      <charset val="1"/>
    </font>
    <font>
      <sz val="12"/>
      <color rgb="FF000000"/>
      <name val="Times New Roman"/>
      <family val="1"/>
      <charset val="1"/>
    </font>
    <font>
      <sz val="14"/>
      <color theme="1"/>
      <name val="Times New Roman"/>
      <family val="1"/>
      <charset val="1"/>
    </font>
    <font>
      <b/>
      <sz val="12"/>
      <color theme="0"/>
      <name val="Times New Roman"/>
      <family val="1"/>
      <charset val="1"/>
    </font>
    <font>
      <sz val="12"/>
      <name val="Times New Roman"/>
      <family val="1"/>
      <charset val="1"/>
    </font>
    <font>
      <b/>
      <sz val="12"/>
      <name val="Times New Roman"/>
      <family val="1"/>
      <charset val="1"/>
    </font>
    <font>
      <b/>
      <sz val="12"/>
      <color rgb="FF000000"/>
      <name val="Times New Roman"/>
      <family val="1"/>
      <charset val="1"/>
    </font>
    <font>
      <b/>
      <sz val="12"/>
      <color theme="1"/>
      <name val="Times New Roman"/>
      <family val="1"/>
      <charset val="1"/>
    </font>
    <font>
      <sz val="12"/>
      <color rgb="FFFF0000"/>
      <name val="Times New Roman"/>
      <family val="1"/>
      <charset val="1"/>
    </font>
    <font>
      <sz val="12"/>
      <color theme="1"/>
      <name val="Times New Roman"/>
      <family val="1"/>
      <charset val="1"/>
    </font>
    <font>
      <b/>
      <sz val="10"/>
      <name val="Arial"/>
      <family val="2"/>
    </font>
    <font>
      <sz val="10"/>
      <name val="Arial"/>
      <family val="2"/>
    </font>
    <font>
      <sz val="10"/>
      <color rgb="FF0000FF"/>
      <name val="Arial"/>
      <family val="2"/>
    </font>
    <font>
      <sz val="11"/>
      <color rgb="FF081B3A"/>
      <name val="Times New Roman"/>
      <family val="1"/>
      <charset val="1"/>
    </font>
    <font>
      <sz val="9"/>
      <color rgb="FF808080"/>
      <name val="Arial"/>
      <family val="2"/>
    </font>
    <font>
      <sz val="9"/>
      <color rgb="FF000000"/>
      <name val="Times New Roman"/>
      <family val="1"/>
      <charset val="1"/>
    </font>
    <font>
      <i/>
      <sz val="9"/>
      <color rgb="FF000000"/>
      <name val="Times New Roman"/>
      <family val="1"/>
      <charset val="1"/>
    </font>
    <font>
      <b/>
      <sz val="9"/>
      <color rgb="FF000000"/>
      <name val="Times New Roman"/>
      <family val="1"/>
      <charset val="1"/>
    </font>
    <font>
      <b/>
      <sz val="14"/>
      <name val="Times New Roman"/>
      <family val="1"/>
      <charset val="1"/>
    </font>
    <font>
      <sz val="9"/>
      <name val="Times New Roman"/>
      <family val="1"/>
      <charset val="1"/>
    </font>
    <font>
      <i/>
      <sz val="9"/>
      <name val="Times New Roman"/>
      <family val="1"/>
      <charset val="1"/>
    </font>
    <font>
      <i/>
      <u/>
      <sz val="9"/>
      <name val="Times New Roman"/>
      <family val="1"/>
      <charset val="1"/>
    </font>
    <font>
      <b/>
      <sz val="9"/>
      <color theme="0"/>
      <name val="Times New Roman"/>
      <family val="1"/>
      <charset val="1"/>
    </font>
    <font>
      <sz val="9"/>
      <color theme="0"/>
      <name val="Times New Roman"/>
      <family val="1"/>
      <charset val="1"/>
    </font>
    <font>
      <b/>
      <sz val="9"/>
      <color theme="1"/>
      <name val="Times New Roman"/>
      <family val="1"/>
      <charset val="1"/>
    </font>
    <font>
      <sz val="9"/>
      <color theme="1"/>
      <name val="Times New Roman"/>
      <family val="1"/>
      <charset val="1"/>
    </font>
    <font>
      <b/>
      <sz val="10"/>
      <color rgb="FF000000"/>
      <name val="Times New Roman"/>
      <family val="1"/>
      <charset val="1"/>
    </font>
    <font>
      <i/>
      <sz val="10"/>
      <name val="Times New Roman"/>
      <family val="1"/>
      <charset val="1"/>
    </font>
    <font>
      <b/>
      <i/>
      <sz val="10"/>
      <color rgb="FF000000"/>
      <name val="Times New Roman"/>
      <family val="1"/>
      <charset val="1"/>
    </font>
    <font>
      <b/>
      <i/>
      <sz val="14"/>
      <color theme="1"/>
      <name val="Times New Roman"/>
      <family val="1"/>
      <charset val="1"/>
    </font>
    <font>
      <b/>
      <sz val="18"/>
      <color theme="1"/>
      <name val="Times New Roman"/>
      <family val="1"/>
      <charset val="1"/>
    </font>
    <font>
      <b/>
      <sz val="14"/>
      <name val="Cambria"/>
      <family val="1"/>
      <charset val="1"/>
    </font>
    <font>
      <sz val="14"/>
      <name val="Cambria"/>
      <family val="1"/>
      <charset val="1"/>
    </font>
    <font>
      <b/>
      <sz val="14"/>
      <color theme="0"/>
      <name val="Cambria"/>
      <family val="1"/>
      <charset val="1"/>
    </font>
    <font>
      <b/>
      <sz val="13"/>
      <name val="Times New Roman"/>
      <family val="1"/>
      <charset val="1"/>
    </font>
    <font>
      <b/>
      <sz val="12"/>
      <color rgb="FF0000FF"/>
      <name val="Times New Roman"/>
      <family val="1"/>
      <charset val="1"/>
    </font>
    <font>
      <sz val="13"/>
      <name val="Times New Roman"/>
      <family val="1"/>
      <charset val="1"/>
    </font>
    <font>
      <b/>
      <u/>
      <sz val="13"/>
      <name val="Times New Roman"/>
      <family val="1"/>
      <charset val="1"/>
    </font>
    <font>
      <i/>
      <sz val="11"/>
      <color rgb="FFC00000"/>
      <name val="Times New Roman"/>
      <family val="1"/>
      <charset val="1"/>
    </font>
    <font>
      <i/>
      <sz val="13"/>
      <name val="Times New Roman"/>
      <family val="1"/>
      <charset val="1"/>
    </font>
    <font>
      <sz val="10"/>
      <color rgb="FF808080"/>
      <name val="Times New Roman"/>
      <family val="1"/>
      <charset val="1"/>
    </font>
    <font>
      <b/>
      <sz val="16"/>
      <name val="Times New Roman"/>
      <family val="1"/>
      <charset val="1"/>
    </font>
    <font>
      <i/>
      <sz val="10"/>
      <color rgb="FF808080"/>
      <name val="Times New Roman"/>
      <family val="1"/>
      <charset val="1"/>
    </font>
    <font>
      <i/>
      <sz val="12"/>
      <color rgb="FFC00000"/>
      <name val="Times New Roman"/>
      <family val="1"/>
      <charset val="1"/>
    </font>
    <font>
      <i/>
      <sz val="12"/>
      <color theme="1"/>
      <name val="Times New Roman"/>
      <family val="1"/>
      <charset val="1"/>
    </font>
    <font>
      <i/>
      <sz val="12"/>
      <name val="Times New Roman"/>
      <family val="1"/>
      <charset val="1"/>
    </font>
    <font>
      <b/>
      <i/>
      <sz val="13"/>
      <name val="Times New Roman"/>
      <family val="1"/>
      <charset val="1"/>
    </font>
    <font>
      <b/>
      <sz val="13"/>
      <color theme="1"/>
      <name val="Times New Roman"/>
      <family val="1"/>
      <charset val="1"/>
    </font>
    <font>
      <i/>
      <sz val="11"/>
      <color theme="1"/>
      <name val="Times New Roman"/>
      <family val="1"/>
      <charset val="1"/>
    </font>
    <font>
      <b/>
      <sz val="13.5"/>
      <color theme="1"/>
      <name val="Times New Roman"/>
      <family val="1"/>
      <charset val="1"/>
    </font>
    <font>
      <sz val="10"/>
      <color theme="1"/>
      <name val="Cambria"/>
      <family val="1"/>
      <charset val="1"/>
    </font>
    <font>
      <b/>
      <sz val="10"/>
      <name val="Cambria"/>
      <family val="1"/>
      <charset val="1"/>
    </font>
    <font>
      <i/>
      <sz val="10"/>
      <name val="Cambria"/>
      <family val="1"/>
      <charset val="1"/>
    </font>
    <font>
      <b/>
      <sz val="10"/>
      <color rgb="FFFFFFFF"/>
      <name val="Cambria"/>
      <family val="1"/>
      <charset val="1"/>
    </font>
    <font>
      <b/>
      <sz val="10"/>
      <color rgb="FF1F4E78"/>
      <name val="Cambria"/>
      <family val="1"/>
      <charset val="1"/>
    </font>
    <font>
      <sz val="10"/>
      <name val="Cambria"/>
      <family val="1"/>
      <charset val="1"/>
    </font>
    <font>
      <i/>
      <sz val="10"/>
      <color rgb="FF555555"/>
      <name val="Cambria"/>
      <family val="1"/>
      <charset val="1"/>
    </font>
    <font>
      <i/>
      <sz val="10"/>
      <color rgb="FFFF0000"/>
      <name val="Cambria"/>
      <family val="1"/>
      <charset val="1"/>
    </font>
    <font>
      <b/>
      <sz val="13"/>
      <color theme="1"/>
      <name val="Cambria"/>
      <family val="1"/>
      <charset val="1"/>
    </font>
    <font>
      <b/>
      <sz val="16"/>
      <color theme="1"/>
      <name val="Cambria"/>
      <family val="1"/>
      <charset val="1"/>
    </font>
    <font>
      <b/>
      <sz val="11"/>
      <color rgb="FF0000FF"/>
      <name val="Times New Roman"/>
      <family val="1"/>
      <charset val="1"/>
    </font>
    <font>
      <b/>
      <sz val="11"/>
      <color rgb="FFC00000"/>
      <name val="Times New Roman"/>
      <family val="1"/>
      <charset val="1"/>
    </font>
    <font>
      <sz val="13"/>
      <color rgb="FF0000FF"/>
      <name val="Times New Roman"/>
      <family val="1"/>
      <charset val="1"/>
    </font>
    <font>
      <sz val="11"/>
      <color theme="1"/>
      <name val="Calibri"/>
      <family val="2"/>
      <charset val="1"/>
    </font>
  </fonts>
  <fills count="12">
    <fill>
      <patternFill patternType="none"/>
    </fill>
    <fill>
      <patternFill patternType="gray125"/>
    </fill>
    <fill>
      <patternFill patternType="solid">
        <fgColor rgb="FF00B050"/>
        <bgColor rgb="FF008080"/>
      </patternFill>
    </fill>
    <fill>
      <patternFill patternType="solid">
        <fgColor rgb="FFFFFF00"/>
        <bgColor rgb="FFFFFF00"/>
      </patternFill>
    </fill>
    <fill>
      <patternFill patternType="solid">
        <fgColor theme="0"/>
        <bgColor rgb="FFFFF2CC"/>
      </patternFill>
    </fill>
    <fill>
      <patternFill patternType="solid">
        <fgColor theme="9" tint="0.39939573351237523"/>
        <bgColor rgb="FFFFC7CE"/>
      </patternFill>
    </fill>
    <fill>
      <patternFill patternType="solid">
        <fgColor rgb="FFFCE4D6"/>
        <bgColor rgb="FFFFF2CC"/>
      </patternFill>
    </fill>
    <fill>
      <patternFill patternType="solid">
        <fgColor rgb="FFFFF2CC"/>
        <bgColor rgb="FFFCE4D6"/>
      </patternFill>
    </fill>
    <fill>
      <patternFill patternType="solid">
        <fgColor rgb="FFD9E2F3"/>
        <bgColor rgb="FFD9E1F2"/>
      </patternFill>
    </fill>
    <fill>
      <patternFill patternType="solid">
        <fgColor rgb="FFDDEBF7"/>
        <bgColor rgb="FFD9E2F3"/>
      </patternFill>
    </fill>
    <fill>
      <patternFill patternType="solid">
        <fgColor rgb="FFD9E1F2"/>
        <bgColor rgb="FFD9E2F3"/>
      </patternFill>
    </fill>
    <fill>
      <patternFill patternType="solid">
        <fgColor theme="9" tint="0.39997558519241921"/>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rgb="FFD9D9D9"/>
      </left>
      <right style="thin">
        <color rgb="FFD9D9D9"/>
      </right>
      <top style="thin">
        <color rgb="FFD9D9D9"/>
      </top>
      <bottom style="thin">
        <color rgb="FFD9D9D9"/>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medium">
        <color auto="1"/>
      </left>
      <right style="thin">
        <color auto="1"/>
      </right>
      <top style="thin">
        <color auto="1"/>
      </top>
      <bottom style="thin">
        <color auto="1"/>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style="thin">
        <color rgb="FF999999"/>
      </left>
      <right style="thin">
        <color rgb="FF999999"/>
      </right>
      <top style="thin">
        <color rgb="FF999999"/>
      </top>
      <bottom style="thin">
        <color rgb="FF999999"/>
      </bottom>
      <diagonal/>
    </border>
    <border>
      <left style="thin">
        <color auto="1"/>
      </left>
      <right/>
      <top style="thin">
        <color auto="1"/>
      </top>
      <bottom/>
      <diagonal/>
    </border>
    <border>
      <left style="thin">
        <color auto="1"/>
      </left>
      <right/>
      <top/>
      <bottom/>
      <diagonal/>
    </border>
  </borders>
  <cellStyleXfs count="10">
    <xf numFmtId="0" fontId="0" fillId="0" borderId="0"/>
    <xf numFmtId="0" fontId="90" fillId="0" borderId="0"/>
    <xf numFmtId="164" fontId="2" fillId="0" borderId="0">
      <alignment vertical="top"/>
      <protection locked="0"/>
    </xf>
    <xf numFmtId="165" fontId="2" fillId="0" borderId="0"/>
    <xf numFmtId="164" fontId="90" fillId="0" borderId="0"/>
    <xf numFmtId="166" fontId="90" fillId="0" borderId="0"/>
    <xf numFmtId="164" fontId="90" fillId="0" borderId="0"/>
    <xf numFmtId="0" fontId="3" fillId="0" borderId="0"/>
    <xf numFmtId="0" fontId="90" fillId="0" borderId="0"/>
    <xf numFmtId="0" fontId="90" fillId="0" borderId="0"/>
  </cellStyleXfs>
  <cellXfs count="409">
    <xf numFmtId="0" fontId="0" fillId="0" borderId="0" xfId="0"/>
    <xf numFmtId="3" fontId="14" fillId="2" borderId="1"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167" fontId="8"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4" fillId="0" borderId="0" xfId="0" applyFont="1"/>
    <xf numFmtId="167" fontId="4" fillId="0" borderId="0" xfId="0" applyNumberFormat="1" applyFont="1"/>
    <xf numFmtId="0" fontId="4" fillId="0" borderId="0" xfId="0" applyFont="1" applyAlignment="1">
      <alignment horizontal="left" vertical="center"/>
    </xf>
    <xf numFmtId="0" fontId="4" fillId="0" borderId="0" xfId="0" applyFont="1" applyAlignment="1">
      <alignment horizontal="right"/>
    </xf>
    <xf numFmtId="38" fontId="5" fillId="0" borderId="0" xfId="0" applyNumberFormat="1" applyFont="1" applyAlignment="1">
      <alignment vertical="center"/>
    </xf>
    <xf numFmtId="3" fontId="6" fillId="0" borderId="0" xfId="0" applyNumberFormat="1" applyFont="1" applyAlignment="1">
      <alignment vertical="center"/>
    </xf>
    <xf numFmtId="167" fontId="7" fillId="0" borderId="0" xfId="0" applyNumberFormat="1" applyFont="1"/>
    <xf numFmtId="167" fontId="9" fillId="2" borderId="2" xfId="0" applyNumberFormat="1" applyFont="1" applyFill="1" applyBorder="1" applyAlignment="1">
      <alignment horizontal="center"/>
    </xf>
    <xf numFmtId="0" fontId="9" fillId="2" borderId="1" xfId="0" applyFont="1" applyFill="1" applyBorder="1"/>
    <xf numFmtId="0" fontId="10" fillId="0" borderId="3" xfId="0" applyFont="1" applyBorder="1" applyAlignment="1">
      <alignment horizontal="center" vertical="center"/>
    </xf>
    <xf numFmtId="0" fontId="10" fillId="0" borderId="1" xfId="0" applyFont="1" applyBorder="1" applyAlignment="1">
      <alignment horizontal="center" vertical="center"/>
    </xf>
    <xf numFmtId="0" fontId="4" fillId="0" borderId="1" xfId="0" applyFont="1" applyBorder="1" applyAlignment="1">
      <alignment horizontal="center"/>
    </xf>
    <xf numFmtId="0" fontId="4" fillId="0" borderId="1" xfId="0" applyFont="1" applyBorder="1" applyAlignment="1">
      <alignment horizontal="left"/>
    </xf>
    <xf numFmtId="167" fontId="4" fillId="0" borderId="1" xfId="0" applyNumberFormat="1" applyFont="1" applyBorder="1" applyAlignment="1">
      <alignment horizontal="center"/>
    </xf>
    <xf numFmtId="0" fontId="4" fillId="0" borderId="1" xfId="0" applyFont="1" applyBorder="1" applyAlignment="1">
      <alignment horizontal="left" vertical="center"/>
    </xf>
    <xf numFmtId="0" fontId="4" fillId="0" borderId="1" xfId="0" applyFont="1" applyBorder="1" applyAlignment="1">
      <alignment horizontal="right"/>
    </xf>
    <xf numFmtId="167" fontId="4" fillId="0" borderId="0" xfId="0" applyNumberFormat="1" applyFont="1" applyAlignment="1">
      <alignment horizontal="center"/>
    </xf>
    <xf numFmtId="0" fontId="4" fillId="0" borderId="0" xfId="0" applyFont="1" applyAlignment="1">
      <alignment horizontal="center"/>
    </xf>
    <xf numFmtId="0" fontId="10" fillId="0" borderId="1" xfId="0" applyFont="1" applyBorder="1" applyAlignment="1">
      <alignment horizontal="center"/>
    </xf>
    <xf numFmtId="0" fontId="11" fillId="0" borderId="1" xfId="0" applyFont="1" applyBorder="1" applyAlignment="1">
      <alignment horizontal="left"/>
    </xf>
    <xf numFmtId="0" fontId="12" fillId="0" borderId="1" xfId="0" applyFont="1" applyBorder="1" applyAlignment="1">
      <alignment horizontal="left"/>
    </xf>
    <xf numFmtId="167" fontId="4" fillId="0" borderId="1" xfId="0" applyNumberFormat="1" applyFont="1" applyBorder="1"/>
    <xf numFmtId="168" fontId="4" fillId="0" borderId="1" xfId="0" applyNumberFormat="1" applyFont="1" applyBorder="1"/>
    <xf numFmtId="0" fontId="4" fillId="0" borderId="1" xfId="0" applyFont="1" applyBorder="1"/>
    <xf numFmtId="3" fontId="6" fillId="0" borderId="0" xfId="0" applyNumberFormat="1" applyFont="1" applyAlignment="1">
      <alignment horizontal="left" vertical="center"/>
    </xf>
    <xf numFmtId="3" fontId="6" fillId="0" borderId="0" xfId="0" applyNumberFormat="1" applyFont="1" applyAlignment="1">
      <alignment horizontal="center" vertical="center"/>
    </xf>
    <xf numFmtId="164" fontId="6" fillId="0" borderId="0" xfId="0" applyNumberFormat="1" applyFont="1" applyAlignment="1">
      <alignment horizontal="center" vertical="center"/>
    </xf>
    <xf numFmtId="169" fontId="6" fillId="0" borderId="0" xfId="0" applyNumberFormat="1" applyFont="1" applyAlignment="1">
      <alignment vertical="center"/>
    </xf>
    <xf numFmtId="170" fontId="6" fillId="0" borderId="0" xfId="0" applyNumberFormat="1" applyFont="1" applyAlignment="1">
      <alignment vertical="center"/>
    </xf>
    <xf numFmtId="170" fontId="6" fillId="0" borderId="0" xfId="0" applyNumberFormat="1" applyFont="1" applyAlignment="1">
      <alignment horizontal="left" vertical="center"/>
    </xf>
    <xf numFmtId="170" fontId="6" fillId="0" borderId="0" xfId="0" applyNumberFormat="1" applyFont="1" applyAlignment="1">
      <alignment horizontal="center" vertical="center"/>
    </xf>
    <xf numFmtId="171" fontId="16" fillId="2" borderId="1" xfId="0" applyNumberFormat="1" applyFont="1" applyFill="1" applyBorder="1" applyAlignment="1">
      <alignment horizontal="center" vertical="center" wrapText="1"/>
    </xf>
    <xf numFmtId="171" fontId="16" fillId="2" borderId="5" xfId="0" applyNumberFormat="1" applyFont="1" applyFill="1" applyBorder="1" applyAlignment="1">
      <alignment horizontal="center" vertical="center" wrapText="1"/>
    </xf>
    <xf numFmtId="0" fontId="16" fillId="2" borderId="6" xfId="0" applyFont="1" applyFill="1" applyBorder="1" applyAlignment="1">
      <alignment horizontal="center" vertical="center" wrapText="1"/>
    </xf>
    <xf numFmtId="164" fontId="16" fillId="2" borderId="6" xfId="0" applyNumberFormat="1" applyFont="1" applyFill="1" applyBorder="1" applyAlignment="1">
      <alignment horizontal="center" vertical="center" wrapText="1"/>
    </xf>
    <xf numFmtId="0" fontId="16" fillId="2" borderId="1" xfId="0" applyFont="1" applyFill="1" applyBorder="1" applyAlignment="1">
      <alignment horizontal="center" vertical="center" wrapText="1"/>
    </xf>
    <xf numFmtId="0" fontId="16" fillId="2" borderId="7" xfId="0" applyFont="1" applyFill="1" applyBorder="1" applyAlignment="1">
      <alignment horizontal="center" vertical="center" wrapText="1"/>
    </xf>
    <xf numFmtId="0" fontId="12" fillId="0" borderId="8"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4" borderId="1" xfId="0" applyFont="1" applyFill="1" applyBorder="1" applyAlignment="1">
      <alignment horizontal="center" vertical="center"/>
    </xf>
    <xf numFmtId="169" fontId="6" fillId="0" borderId="1" xfId="0" applyNumberFormat="1" applyFont="1" applyBorder="1" applyAlignment="1">
      <alignment horizontal="center" vertical="center"/>
    </xf>
    <xf numFmtId="0" fontId="6" fillId="0" borderId="5" xfId="0" applyFont="1" applyBorder="1" applyAlignment="1">
      <alignment horizontal="center" vertical="center"/>
    </xf>
    <xf numFmtId="3" fontId="18" fillId="0" borderId="1" xfId="0" applyNumberFormat="1" applyFont="1" applyBorder="1" applyAlignment="1">
      <alignment vertical="center"/>
    </xf>
    <xf numFmtId="0" fontId="6" fillId="0" borderId="2" xfId="0" applyFont="1" applyBorder="1" applyAlignment="1">
      <alignment horizontal="left" vertical="center"/>
    </xf>
    <xf numFmtId="0" fontId="6" fillId="0" borderId="0" xfId="0" applyFont="1" applyAlignment="1">
      <alignment horizontal="center" vertical="center"/>
    </xf>
    <xf numFmtId="0" fontId="11" fillId="5" borderId="8" xfId="0" applyFont="1" applyFill="1" applyBorder="1" applyAlignment="1">
      <alignment horizontal="center" vertical="center"/>
    </xf>
    <xf numFmtId="0" fontId="6" fillId="5"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center" vertical="center"/>
    </xf>
    <xf numFmtId="169" fontId="6" fillId="5" borderId="1" xfId="0" applyNumberFormat="1" applyFont="1" applyFill="1" applyBorder="1" applyAlignment="1">
      <alignment horizontal="center" vertical="center"/>
    </xf>
    <xf numFmtId="3" fontId="18" fillId="5" borderId="1" xfId="0" applyNumberFormat="1" applyFont="1" applyFill="1" applyBorder="1" applyAlignment="1">
      <alignment vertical="center"/>
    </xf>
    <xf numFmtId="0" fontId="5" fillId="5" borderId="1" xfId="0" applyFont="1" applyFill="1" applyBorder="1" applyAlignment="1">
      <alignment horizontal="left" vertical="center"/>
    </xf>
    <xf numFmtId="3" fontId="6" fillId="5" borderId="0" xfId="0" applyNumberFormat="1" applyFont="1" applyFill="1" applyAlignment="1">
      <alignment vertical="center"/>
    </xf>
    <xf numFmtId="0" fontId="12" fillId="0" borderId="1" xfId="0" applyFont="1" applyBorder="1" applyAlignment="1">
      <alignment horizontal="center" vertical="center"/>
    </xf>
    <xf numFmtId="0" fontId="6" fillId="4" borderId="0" xfId="0" applyFont="1" applyFill="1" applyAlignment="1">
      <alignment horizontal="left" vertical="center"/>
    </xf>
    <xf numFmtId="0" fontId="6" fillId="4" borderId="0" xfId="0" applyFont="1" applyFill="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wrapText="1"/>
    </xf>
    <xf numFmtId="0" fontId="19" fillId="0" borderId="0" xfId="0" applyFont="1"/>
    <xf numFmtId="0" fontId="17" fillId="0" borderId="0" xfId="0" applyFont="1"/>
    <xf numFmtId="0" fontId="20" fillId="0" borderId="0" xfId="0" applyFont="1"/>
    <xf numFmtId="0" fontId="11" fillId="0" borderId="0" xfId="0" applyFont="1" applyAlignment="1">
      <alignment horizontal="center"/>
    </xf>
    <xf numFmtId="0" fontId="21" fillId="0" borderId="0" xfId="0" applyFont="1" applyAlignment="1">
      <alignment horizontal="center" vertical="center"/>
    </xf>
    <xf numFmtId="0" fontId="21" fillId="0" borderId="0" xfId="0" applyFont="1" applyAlignment="1">
      <alignment vertical="center"/>
    </xf>
    <xf numFmtId="0" fontId="22" fillId="0" borderId="0" xfId="0" applyFont="1" applyAlignment="1">
      <alignment horizontal="center" vertical="center"/>
    </xf>
    <xf numFmtId="3" fontId="21" fillId="0" borderId="0" xfId="0" applyNumberFormat="1" applyFont="1" applyAlignment="1">
      <alignment horizontal="right" vertical="center"/>
    </xf>
    <xf numFmtId="167" fontId="21" fillId="0" borderId="0" xfId="0" applyNumberFormat="1" applyFont="1" applyAlignment="1">
      <alignment horizontal="right" vertical="center"/>
    </xf>
    <xf numFmtId="167" fontId="21" fillId="0" borderId="0" xfId="0" applyNumberFormat="1" applyFont="1" applyAlignment="1">
      <alignment vertical="center"/>
    </xf>
    <xf numFmtId="0" fontId="6" fillId="0" borderId="0" xfId="0" applyFont="1" applyAlignment="1">
      <alignment vertical="center"/>
    </xf>
    <xf numFmtId="167" fontId="6" fillId="0" borderId="0" xfId="0" applyNumberFormat="1" applyFont="1" applyAlignment="1">
      <alignment vertical="center"/>
    </xf>
    <xf numFmtId="0" fontId="14" fillId="2" borderId="1" xfId="0" applyFont="1" applyFill="1" applyBorder="1" applyAlignment="1">
      <alignment horizontal="center" vertical="center"/>
    </xf>
    <xf numFmtId="0" fontId="14" fillId="2" borderId="1" xfId="0" applyFont="1" applyFill="1" applyBorder="1" applyAlignment="1">
      <alignment horizontal="center" vertical="center" wrapText="1"/>
    </xf>
    <xf numFmtId="167" fontId="6" fillId="0" borderId="0" xfId="0" applyNumberFormat="1" applyFont="1" applyAlignment="1">
      <alignment horizontal="center" vertical="center"/>
    </xf>
    <xf numFmtId="165"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17" fillId="0" borderId="1" xfId="0" applyFont="1" applyBorder="1" applyAlignment="1">
      <alignment horizontal="left"/>
    </xf>
    <xf numFmtId="3" fontId="6" fillId="0" borderId="1" xfId="0" applyNumberFormat="1" applyFont="1" applyBorder="1" applyAlignment="1">
      <alignment horizontal="right" vertical="center"/>
    </xf>
    <xf numFmtId="3" fontId="5" fillId="0" borderId="1" xfId="0" applyNumberFormat="1" applyFont="1" applyBorder="1" applyAlignment="1">
      <alignment horizontal="right" vertical="center"/>
    </xf>
    <xf numFmtId="167" fontId="6" fillId="0" borderId="1" xfId="0" applyNumberFormat="1" applyFont="1" applyBorder="1" applyAlignment="1">
      <alignment horizontal="right" vertical="center"/>
    </xf>
    <xf numFmtId="167" fontId="6" fillId="0" borderId="1" xfId="0" applyNumberFormat="1" applyFont="1" applyBorder="1" applyAlignment="1">
      <alignment vertical="center"/>
    </xf>
    <xf numFmtId="0" fontId="6" fillId="0" borderId="0" xfId="0" applyFont="1" applyAlignment="1">
      <alignment horizontal="right" vertical="center"/>
    </xf>
    <xf numFmtId="167" fontId="6" fillId="0" borderId="0" xfId="0" applyNumberFormat="1" applyFont="1" applyAlignment="1">
      <alignment horizontal="right" vertical="center"/>
    </xf>
    <xf numFmtId="0" fontId="23" fillId="0" borderId="1" xfId="0" applyFont="1" applyBorder="1" applyAlignment="1">
      <alignment horizontal="left"/>
    </xf>
    <xf numFmtId="3" fontId="24" fillId="0" borderId="0" xfId="0" applyNumberFormat="1" applyFont="1" applyAlignment="1">
      <alignment horizontal="center" vertical="center"/>
    </xf>
    <xf numFmtId="0" fontId="5" fillId="0" borderId="0" xfId="0" applyFont="1" applyAlignment="1">
      <alignment vertical="center"/>
    </xf>
    <xf numFmtId="167" fontId="5" fillId="0" borderId="0" xfId="0" applyNumberFormat="1" applyFont="1" applyAlignment="1">
      <alignment vertical="center"/>
    </xf>
    <xf numFmtId="3" fontId="6" fillId="0" borderId="0" xfId="0" applyNumberFormat="1" applyFont="1" applyAlignment="1">
      <alignment horizontal="right" vertical="center"/>
    </xf>
    <xf numFmtId="0" fontId="25" fillId="0" borderId="0" xfId="0" applyFont="1" applyAlignment="1">
      <alignment vertical="center"/>
    </xf>
    <xf numFmtId="0" fontId="26" fillId="0" borderId="8" xfId="0" applyFont="1" applyBorder="1" applyAlignment="1">
      <alignment horizontal="center" vertical="center"/>
    </xf>
    <xf numFmtId="3" fontId="21" fillId="0" borderId="0" xfId="0" applyNumberFormat="1" applyFont="1" applyAlignment="1">
      <alignment horizontal="center" vertical="center"/>
    </xf>
    <xf numFmtId="167" fontId="21" fillId="0" borderId="0" xfId="0" applyNumberFormat="1" applyFont="1" applyAlignment="1">
      <alignment horizontal="center" vertical="center"/>
    </xf>
    <xf numFmtId="165" fontId="6" fillId="0" borderId="0" xfId="0" applyNumberFormat="1" applyFont="1" applyAlignment="1">
      <alignment horizontal="center" vertical="center"/>
    </xf>
    <xf numFmtId="3" fontId="5" fillId="0" borderId="0" xfId="0" applyNumberFormat="1" applyFont="1" applyAlignment="1">
      <alignment vertical="center"/>
    </xf>
    <xf numFmtId="3" fontId="5" fillId="0" borderId="0" xfId="0" applyNumberFormat="1" applyFont="1" applyAlignment="1">
      <alignment horizontal="right" vertical="center"/>
    </xf>
    <xf numFmtId="3" fontId="24" fillId="0" borderId="0" xfId="0" applyNumberFormat="1" applyFont="1" applyAlignment="1">
      <alignment vertical="center"/>
    </xf>
    <xf numFmtId="3" fontId="24" fillId="0" borderId="0" xfId="0" applyNumberFormat="1" applyFont="1" applyAlignment="1">
      <alignment horizontal="right" vertical="center"/>
    </xf>
    <xf numFmtId="167" fontId="24" fillId="0" borderId="0" xfId="0" applyNumberFormat="1" applyFont="1" applyAlignment="1">
      <alignment horizontal="center" vertical="center"/>
    </xf>
    <xf numFmtId="3" fontId="25" fillId="0" borderId="0" xfId="0" applyNumberFormat="1" applyFont="1" applyAlignment="1">
      <alignment vertical="center"/>
    </xf>
    <xf numFmtId="3" fontId="17" fillId="0" borderId="0" xfId="0" applyNumberFormat="1" applyFont="1"/>
    <xf numFmtId="0" fontId="17" fillId="0" borderId="0" xfId="0" applyFont="1" applyAlignment="1">
      <alignment horizontal="center"/>
    </xf>
    <xf numFmtId="0" fontId="27" fillId="0" borderId="0" xfId="0" applyFont="1" applyAlignment="1">
      <alignment horizontal="center"/>
    </xf>
    <xf numFmtId="3" fontId="14" fillId="2" borderId="1" xfId="0" applyNumberFormat="1" applyFont="1" applyFill="1" applyBorder="1" applyAlignment="1">
      <alignment vertical="center"/>
    </xf>
    <xf numFmtId="0" fontId="14" fillId="2" borderId="1" xfId="0" applyFont="1" applyFill="1" applyBorder="1" applyAlignment="1">
      <alignment horizontal="center"/>
    </xf>
    <xf numFmtId="3" fontId="6" fillId="0" borderId="1" xfId="0" applyNumberFormat="1" applyFont="1" applyBorder="1" applyAlignment="1">
      <alignment vertical="center"/>
    </xf>
    <xf numFmtId="0" fontId="27" fillId="0" borderId="1" xfId="0" applyFont="1" applyBorder="1" applyAlignment="1">
      <alignment horizontal="center"/>
    </xf>
    <xf numFmtId="0" fontId="23" fillId="0" borderId="1" xfId="0" applyFont="1" applyBorder="1" applyAlignment="1">
      <alignment horizontal="center" vertical="center"/>
    </xf>
    <xf numFmtId="0" fontId="23" fillId="0" borderId="1" xfId="0" applyFont="1" applyBorder="1" applyAlignment="1">
      <alignment horizontal="left" vertical="center"/>
    </xf>
    <xf numFmtId="0" fontId="17" fillId="0" borderId="1" xfId="0" applyFont="1" applyBorder="1" applyAlignment="1">
      <alignment horizontal="center"/>
    </xf>
    <xf numFmtId="0" fontId="28" fillId="0" borderId="0" xfId="0" applyFont="1" applyAlignment="1">
      <alignment horizontal="center"/>
    </xf>
    <xf numFmtId="0" fontId="28" fillId="0" borderId="0" xfId="0" applyFont="1"/>
    <xf numFmtId="3" fontId="28" fillId="0" borderId="0" xfId="0" applyNumberFormat="1" applyFont="1"/>
    <xf numFmtId="0" fontId="29" fillId="0" borderId="0" xfId="0" applyFont="1"/>
    <xf numFmtId="167" fontId="29" fillId="0" borderId="0" xfId="0" applyNumberFormat="1" applyFont="1"/>
    <xf numFmtId="0" fontId="7" fillId="0" borderId="0" xfId="0" applyFont="1" applyAlignment="1">
      <alignment horizontal="center"/>
    </xf>
    <xf numFmtId="0" fontId="30" fillId="2" borderId="1" xfId="0" applyFont="1" applyFill="1" applyBorder="1" applyAlignment="1">
      <alignment horizontal="center" vertical="center"/>
    </xf>
    <xf numFmtId="167" fontId="30" fillId="2" borderId="1" xfId="0" applyNumberFormat="1" applyFont="1" applyFill="1" applyBorder="1" applyAlignment="1">
      <alignment horizontal="center" vertical="center"/>
    </xf>
    <xf numFmtId="0" fontId="31" fillId="0" borderId="1" xfId="0" applyFont="1" applyBorder="1" applyAlignment="1">
      <alignment horizontal="center"/>
    </xf>
    <xf numFmtId="0" fontId="31" fillId="0" borderId="1" xfId="0" applyFont="1" applyBorder="1" applyAlignment="1">
      <alignment horizontal="left" vertical="center"/>
    </xf>
    <xf numFmtId="167" fontId="31" fillId="0" borderId="1" xfId="0" applyNumberFormat="1" applyFont="1" applyBorder="1"/>
    <xf numFmtId="0" fontId="32" fillId="5" borderId="1" xfId="0" applyFont="1" applyFill="1" applyBorder="1" applyAlignment="1">
      <alignment horizontal="center"/>
    </xf>
    <xf numFmtId="0" fontId="32" fillId="5" borderId="1" xfId="0" applyFont="1" applyFill="1" applyBorder="1" applyAlignment="1">
      <alignment horizontal="left" vertical="center"/>
    </xf>
    <xf numFmtId="167" fontId="32" fillId="5" borderId="1" xfId="0" applyNumberFormat="1" applyFont="1" applyFill="1" applyBorder="1"/>
    <xf numFmtId="0" fontId="34" fillId="0" borderId="1" xfId="0" applyFont="1" applyBorder="1"/>
    <xf numFmtId="167" fontId="34" fillId="0" borderId="1" xfId="0" applyNumberFormat="1" applyFont="1" applyBorder="1"/>
    <xf numFmtId="0" fontId="35" fillId="0" borderId="0" xfId="0" applyFont="1"/>
    <xf numFmtId="167" fontId="35" fillId="0" borderId="0" xfId="0" applyNumberFormat="1" applyFont="1"/>
    <xf numFmtId="0" fontId="36" fillId="0" borderId="0" xfId="0" applyFont="1"/>
    <xf numFmtId="167" fontId="36" fillId="0" borderId="0" xfId="0" applyNumberFormat="1" applyFont="1"/>
    <xf numFmtId="0" fontId="34" fillId="0" borderId="0" xfId="0" applyFont="1"/>
    <xf numFmtId="167" fontId="33" fillId="0" borderId="0" xfId="0" applyNumberFormat="1" applyFont="1" applyAlignment="1">
      <alignment horizontal="center"/>
    </xf>
    <xf numFmtId="0" fontId="34" fillId="0" borderId="0" xfId="0" applyFont="1" applyAlignment="1">
      <alignment horizontal="center"/>
    </xf>
    <xf numFmtId="167" fontId="34" fillId="0" borderId="0" xfId="0" applyNumberFormat="1" applyFont="1" applyAlignment="1">
      <alignment horizontal="center"/>
    </xf>
    <xf numFmtId="167" fontId="34" fillId="0" borderId="0" xfId="0" applyNumberFormat="1" applyFont="1"/>
    <xf numFmtId="164" fontId="36" fillId="0" borderId="0" xfId="0" applyNumberFormat="1" applyFont="1"/>
    <xf numFmtId="167" fontId="28" fillId="0" borderId="0" xfId="0" applyNumberFormat="1" applyFont="1"/>
    <xf numFmtId="0" fontId="10" fillId="0" borderId="0" xfId="0" applyFont="1" applyAlignment="1">
      <alignment horizontal="center" vertical="center"/>
    </xf>
    <xf numFmtId="0" fontId="37" fillId="0" borderId="0" xfId="0" applyFont="1"/>
    <xf numFmtId="167" fontId="8" fillId="2" borderId="1" xfId="0" applyNumberFormat="1" applyFont="1" applyFill="1" applyBorder="1" applyAlignment="1">
      <alignment vertical="center" wrapText="1"/>
    </xf>
    <xf numFmtId="0" fontId="38" fillId="0" borderId="0" xfId="0" applyFont="1"/>
    <xf numFmtId="3" fontId="39" fillId="0" borderId="0" xfId="0" applyNumberFormat="1" applyFont="1"/>
    <xf numFmtId="0" fontId="5" fillId="0" borderId="1" xfId="0" applyFont="1" applyBorder="1" applyAlignment="1">
      <alignment horizontal="left" vertical="center"/>
    </xf>
    <xf numFmtId="0" fontId="5" fillId="0" borderId="1" xfId="0" applyFont="1" applyBorder="1" applyAlignment="1">
      <alignment vertical="center"/>
    </xf>
    <xf numFmtId="0" fontId="10" fillId="0" borderId="1" xfId="0" applyFont="1" applyBorder="1"/>
    <xf numFmtId="3" fontId="4" fillId="0" borderId="1" xfId="0" applyNumberFormat="1" applyFont="1" applyBorder="1"/>
    <xf numFmtId="0" fontId="11" fillId="0" borderId="1" xfId="0" applyFont="1" applyBorder="1" applyAlignment="1">
      <alignment vertical="center"/>
    </xf>
    <xf numFmtId="167" fontId="4" fillId="3" borderId="1" xfId="0" applyNumberFormat="1" applyFont="1" applyFill="1" applyBorder="1"/>
    <xf numFmtId="167" fontId="10" fillId="0" borderId="1" xfId="0" applyNumberFormat="1" applyFont="1" applyBorder="1" applyAlignment="1">
      <alignment horizontal="center" vertical="center"/>
    </xf>
    <xf numFmtId="167" fontId="40" fillId="3" borderId="1" xfId="0" applyNumberFormat="1" applyFont="1" applyFill="1" applyBorder="1"/>
    <xf numFmtId="0" fontId="41" fillId="0" borderId="0" xfId="0" applyFont="1"/>
    <xf numFmtId="0" fontId="5" fillId="0" borderId="1" xfId="0" applyFont="1" applyBorder="1" applyAlignment="1">
      <alignment horizontal="center" vertical="center"/>
    </xf>
    <xf numFmtId="167" fontId="10" fillId="0" borderId="1" xfId="0" applyNumberFormat="1" applyFont="1" applyBorder="1"/>
    <xf numFmtId="167" fontId="26" fillId="0" borderId="1" xfId="0" applyNumberFormat="1" applyFont="1" applyBorder="1"/>
    <xf numFmtId="0" fontId="42" fillId="0" borderId="0" xfId="0" applyFont="1" applyAlignment="1">
      <alignment horizontal="center" vertical="center"/>
    </xf>
    <xf numFmtId="0" fontId="42" fillId="0" borderId="0" xfId="0" applyFont="1" applyAlignment="1">
      <alignment vertical="center"/>
    </xf>
    <xf numFmtId="0" fontId="43" fillId="0" borderId="0" xfId="0" applyFont="1" applyAlignment="1">
      <alignment horizontal="center" vertical="center"/>
    </xf>
    <xf numFmtId="3" fontId="42" fillId="0" borderId="0" xfId="0" applyNumberFormat="1" applyFont="1" applyAlignment="1">
      <alignment horizontal="right" vertical="center"/>
    </xf>
    <xf numFmtId="3" fontId="44" fillId="0" borderId="0" xfId="0" applyNumberFormat="1" applyFont="1" applyAlignment="1">
      <alignment horizontal="center" vertical="center"/>
    </xf>
    <xf numFmtId="3" fontId="44" fillId="0" borderId="0" xfId="0" applyNumberFormat="1" applyFont="1" applyAlignment="1">
      <alignment horizontal="right" vertical="center"/>
    </xf>
    <xf numFmtId="3" fontId="42" fillId="0" borderId="0" xfId="0" applyNumberFormat="1" applyFont="1" applyAlignment="1">
      <alignment vertical="center"/>
    </xf>
    <xf numFmtId="167" fontId="42" fillId="0" borderId="0" xfId="0" applyNumberFormat="1" applyFont="1" applyAlignment="1">
      <alignment vertical="center"/>
    </xf>
    <xf numFmtId="38" fontId="32" fillId="0" borderId="0" xfId="0" applyNumberFormat="1" applyFont="1" applyAlignment="1">
      <alignment vertical="center" wrapText="1"/>
    </xf>
    <xf numFmtId="38" fontId="31" fillId="0" borderId="0" xfId="0" applyNumberFormat="1" applyFont="1" applyAlignment="1">
      <alignment vertical="center"/>
    </xf>
    <xf numFmtId="3" fontId="46" fillId="0" borderId="0" xfId="0" applyNumberFormat="1" applyFont="1" applyAlignment="1">
      <alignment vertical="center"/>
    </xf>
    <xf numFmtId="0" fontId="46" fillId="0" borderId="0" xfId="0" applyFont="1" applyAlignment="1">
      <alignment vertical="center"/>
    </xf>
    <xf numFmtId="167" fontId="46" fillId="0" borderId="0" xfId="0" applyNumberFormat="1" applyFont="1" applyAlignment="1">
      <alignment vertical="center"/>
    </xf>
    <xf numFmtId="165" fontId="46" fillId="0" borderId="0" xfId="0" applyNumberFormat="1" applyFont="1" applyAlignment="1">
      <alignment vertical="center"/>
    </xf>
    <xf numFmtId="0" fontId="46" fillId="0" borderId="0" xfId="0" applyFont="1" applyAlignment="1">
      <alignment horizontal="center" vertical="center"/>
    </xf>
    <xf numFmtId="3" fontId="46" fillId="0" borderId="0" xfId="0" applyNumberFormat="1" applyFont="1" applyAlignment="1">
      <alignment horizontal="right" vertical="center"/>
    </xf>
    <xf numFmtId="169" fontId="46" fillId="0" borderId="0" xfId="0" applyNumberFormat="1" applyFont="1" applyAlignment="1">
      <alignment horizontal="right" vertical="center"/>
    </xf>
    <xf numFmtId="3" fontId="47" fillId="0" borderId="0" xfId="0" applyNumberFormat="1" applyFont="1" applyAlignment="1">
      <alignment horizontal="right" vertical="center"/>
    </xf>
    <xf numFmtId="3" fontId="48" fillId="0" borderId="0" xfId="0" applyNumberFormat="1" applyFont="1" applyAlignment="1">
      <alignment vertical="center"/>
    </xf>
    <xf numFmtId="165" fontId="8" fillId="2" borderId="1" xfId="0" applyNumberFormat="1" applyFont="1" applyFill="1" applyBorder="1" applyAlignment="1">
      <alignment horizontal="center" vertical="center"/>
    </xf>
    <xf numFmtId="3" fontId="8" fillId="2" borderId="1" xfId="0" applyNumberFormat="1" applyFont="1" applyFill="1" applyBorder="1" applyAlignment="1">
      <alignment horizontal="center" vertical="center" wrapText="1"/>
    </xf>
    <xf numFmtId="0" fontId="20" fillId="0" borderId="0" xfId="0" applyFont="1" applyAlignment="1">
      <alignment horizontal="center" vertical="center"/>
    </xf>
    <xf numFmtId="0" fontId="44" fillId="0" borderId="0" xfId="0" applyFont="1" applyAlignment="1">
      <alignment vertical="center"/>
    </xf>
    <xf numFmtId="3" fontId="9" fillId="2" borderId="1" xfId="0" applyNumberFormat="1" applyFont="1" applyFill="1" applyBorder="1" applyAlignment="1">
      <alignment horizontal="center" vertical="center" wrapText="1"/>
    </xf>
    <xf numFmtId="172" fontId="9" fillId="2" borderId="1" xfId="0" applyNumberFormat="1" applyFont="1" applyFill="1" applyBorder="1" applyAlignment="1">
      <alignment horizontal="center" vertical="center" wrapText="1"/>
    </xf>
    <xf numFmtId="9" fontId="9" fillId="2" borderId="1" xfId="0" applyNumberFormat="1" applyFont="1" applyFill="1" applyBorder="1" applyAlignment="1">
      <alignment horizontal="center" vertical="center" wrapText="1"/>
    </xf>
    <xf numFmtId="172" fontId="8" fillId="2" borderId="1" xfId="0" applyNumberFormat="1" applyFont="1" applyFill="1" applyBorder="1" applyAlignment="1">
      <alignment horizontal="center" vertical="center" wrapText="1"/>
    </xf>
    <xf numFmtId="10" fontId="9" fillId="2" borderId="1" xfId="0" applyNumberFormat="1" applyFont="1" applyFill="1" applyBorder="1" applyAlignment="1">
      <alignment horizontal="center" vertical="center" wrapText="1"/>
    </xf>
    <xf numFmtId="10" fontId="8" fillId="2" borderId="1" xfId="0" applyNumberFormat="1" applyFont="1" applyFill="1" applyBorder="1" applyAlignment="1">
      <alignment horizontal="center" vertical="center" wrapText="1"/>
    </xf>
    <xf numFmtId="3" fontId="50" fillId="2" borderId="1" xfId="0" applyNumberFormat="1" applyFont="1" applyFill="1" applyBorder="1" applyAlignment="1">
      <alignment horizontal="center" vertical="center" wrapText="1"/>
    </xf>
    <xf numFmtId="165" fontId="12" fillId="0" borderId="1" xfId="0" applyNumberFormat="1" applyFont="1" applyBorder="1" applyAlignment="1">
      <alignment horizontal="center" vertical="center"/>
    </xf>
    <xf numFmtId="3" fontId="46" fillId="0" borderId="1" xfId="0" applyNumberFormat="1" applyFont="1" applyBorder="1" applyAlignment="1">
      <alignment vertical="center"/>
    </xf>
    <xf numFmtId="3" fontId="46" fillId="0" borderId="1" xfId="0" applyNumberFormat="1" applyFont="1" applyBorder="1" applyAlignment="1">
      <alignment horizontal="center" vertical="center"/>
    </xf>
    <xf numFmtId="0" fontId="11" fillId="0" borderId="1" xfId="0" applyFont="1" applyBorder="1" applyAlignment="1">
      <alignment horizontal="left" vertical="center"/>
    </xf>
    <xf numFmtId="0" fontId="10" fillId="0" borderId="1" xfId="0" applyFont="1" applyBorder="1" applyAlignment="1">
      <alignment vertical="center"/>
    </xf>
    <xf numFmtId="0" fontId="10" fillId="0" borderId="1" xfId="0" applyFont="1" applyBorder="1" applyAlignment="1">
      <alignment horizontal="left" vertical="center"/>
    </xf>
    <xf numFmtId="3" fontId="10" fillId="0" borderId="1" xfId="0" applyNumberFormat="1" applyFont="1" applyBorder="1" applyAlignment="1">
      <alignment horizontal="right" vertical="center"/>
    </xf>
    <xf numFmtId="3" fontId="4" fillId="0" borderId="1" xfId="0" applyNumberFormat="1" applyFont="1" applyBorder="1" applyAlignment="1">
      <alignment horizontal="right" vertical="center"/>
    </xf>
    <xf numFmtId="173" fontId="10" fillId="0" borderId="1" xfId="0" applyNumberFormat="1" applyFont="1" applyBorder="1" applyAlignment="1">
      <alignment horizontal="right" vertical="center"/>
    </xf>
    <xf numFmtId="0" fontId="20" fillId="0" borderId="1" xfId="0" applyFont="1" applyBorder="1" applyAlignment="1">
      <alignment horizontal="right" vertical="center"/>
    </xf>
    <xf numFmtId="167" fontId="20" fillId="0" borderId="1" xfId="0" applyNumberFormat="1" applyFont="1" applyBorder="1" applyAlignment="1">
      <alignment horizontal="right" vertical="center"/>
    </xf>
    <xf numFmtId="3" fontId="51" fillId="0" borderId="1" xfId="0" applyNumberFormat="1" applyFont="1" applyBorder="1" applyAlignment="1">
      <alignment horizontal="right" vertical="center"/>
    </xf>
    <xf numFmtId="0" fontId="20" fillId="0" borderId="0" xfId="0" applyFont="1" applyAlignment="1">
      <alignment horizontal="right" vertical="center"/>
    </xf>
    <xf numFmtId="167" fontId="4" fillId="0" borderId="1" xfId="0" applyNumberFormat="1" applyFont="1" applyBorder="1" applyAlignment="1">
      <alignment horizontal="right" vertical="center"/>
    </xf>
    <xf numFmtId="173" fontId="4" fillId="0" borderId="1" xfId="0" applyNumberFormat="1" applyFont="1" applyBorder="1" applyAlignment="1">
      <alignment horizontal="right" vertical="center"/>
    </xf>
    <xf numFmtId="167" fontId="26" fillId="0" borderId="1" xfId="0" applyNumberFormat="1" applyFont="1" applyBorder="1" applyAlignment="1">
      <alignment horizontal="right" vertical="center"/>
    </xf>
    <xf numFmtId="167" fontId="10" fillId="0" borderId="1" xfId="0" applyNumberFormat="1" applyFont="1" applyBorder="1" applyAlignment="1">
      <alignment horizontal="right" vertical="center"/>
    </xf>
    <xf numFmtId="167" fontId="10" fillId="3" borderId="1" xfId="0" applyNumberFormat="1" applyFont="1" applyFill="1" applyBorder="1" applyAlignment="1">
      <alignment horizontal="right" vertical="center"/>
    </xf>
    <xf numFmtId="3" fontId="52" fillId="0" borderId="1" xfId="0" applyNumberFormat="1" applyFont="1" applyBorder="1" applyAlignment="1">
      <alignment horizontal="right" vertical="center"/>
    </xf>
    <xf numFmtId="2" fontId="4" fillId="0" borderId="1" xfId="0" applyNumberFormat="1" applyFont="1" applyBorder="1" applyAlignment="1">
      <alignment horizontal="right" vertical="center"/>
    </xf>
    <xf numFmtId="0" fontId="46" fillId="0" borderId="0" xfId="0" applyFont="1" applyAlignment="1">
      <alignment horizontal="right" vertical="center"/>
    </xf>
    <xf numFmtId="0" fontId="44" fillId="0" borderId="0" xfId="0" applyFont="1" applyAlignment="1">
      <alignment horizontal="center" vertical="center"/>
    </xf>
    <xf numFmtId="0" fontId="53" fillId="0" borderId="0" xfId="0" applyFont="1" applyAlignment="1">
      <alignment vertical="center"/>
    </xf>
    <xf numFmtId="165" fontId="11" fillId="0" borderId="1" xfId="0" applyNumberFormat="1" applyFont="1" applyBorder="1" applyAlignment="1">
      <alignment horizontal="center" vertical="center"/>
    </xf>
    <xf numFmtId="3" fontId="51" fillId="0" borderId="1" xfId="0" applyNumberFormat="1" applyFont="1" applyBorder="1" applyAlignment="1">
      <alignment horizontal="center" vertical="center"/>
    </xf>
    <xf numFmtId="165" fontId="11" fillId="0" borderId="0" xfId="0" applyNumberFormat="1" applyFont="1" applyAlignment="1">
      <alignment horizontal="center" vertical="center"/>
    </xf>
    <xf numFmtId="3" fontId="11" fillId="0" borderId="0" xfId="0" applyNumberFormat="1" applyFont="1" applyAlignment="1">
      <alignment horizontal="right" vertical="center"/>
    </xf>
    <xf numFmtId="174" fontId="11" fillId="0" borderId="0" xfId="0" applyNumberFormat="1" applyFont="1" applyAlignment="1">
      <alignment vertical="center"/>
    </xf>
    <xf numFmtId="167" fontId="11" fillId="0" borderId="0" xfId="0" applyNumberFormat="1" applyFont="1" applyAlignment="1">
      <alignment vertical="center"/>
    </xf>
    <xf numFmtId="3" fontId="53" fillId="0" borderId="0" xfId="0" applyNumberFormat="1" applyFont="1" applyAlignment="1">
      <alignment horizontal="center" vertical="center"/>
    </xf>
    <xf numFmtId="0" fontId="11" fillId="0" borderId="0" xfId="0" applyFont="1" applyAlignment="1">
      <alignment vertical="center"/>
    </xf>
    <xf numFmtId="0" fontId="53" fillId="0" borderId="0" xfId="0" applyFont="1" applyAlignment="1">
      <alignment horizontal="center" vertical="center"/>
    </xf>
    <xf numFmtId="0" fontId="55" fillId="0" borderId="0" xfId="0" applyFont="1" applyAlignment="1">
      <alignment horizontal="center" vertical="center"/>
    </xf>
    <xf numFmtId="3" fontId="53" fillId="0" borderId="0" xfId="0" applyNumberFormat="1" applyFont="1" applyAlignment="1">
      <alignment horizontal="right" vertical="center"/>
    </xf>
    <xf numFmtId="3" fontId="53" fillId="0" borderId="0" xfId="0" applyNumberFormat="1" applyFont="1" applyAlignment="1">
      <alignment vertical="center"/>
    </xf>
    <xf numFmtId="167" fontId="53" fillId="0" borderId="0" xfId="0" applyNumberFormat="1" applyFont="1" applyAlignment="1">
      <alignment vertical="center"/>
    </xf>
    <xf numFmtId="0" fontId="29" fillId="0" borderId="0" xfId="0" applyFont="1" applyAlignment="1">
      <alignment vertical="center"/>
    </xf>
    <xf numFmtId="0" fontId="58" fillId="0" borderId="0" xfId="0" applyFont="1" applyAlignment="1">
      <alignment horizontal="center"/>
    </xf>
    <xf numFmtId="0" fontId="58" fillId="0" borderId="9" xfId="0" applyFont="1" applyBorder="1"/>
    <xf numFmtId="0" fontId="58" fillId="0" borderId="0" xfId="0" applyFont="1" applyAlignment="1">
      <alignment horizontal="right"/>
    </xf>
    <xf numFmtId="0" fontId="58" fillId="0" borderId="0" xfId="0" applyFont="1"/>
    <xf numFmtId="0" fontId="59" fillId="0" borderId="0" xfId="0" applyFont="1" applyAlignment="1">
      <alignment horizontal="center"/>
    </xf>
    <xf numFmtId="0" fontId="60" fillId="2" borderId="9" xfId="0" applyFont="1" applyFill="1" applyBorder="1" applyAlignment="1">
      <alignment horizontal="center" vertical="center" wrapText="1"/>
    </xf>
    <xf numFmtId="0" fontId="58" fillId="0" borderId="9" xfId="0" applyFont="1" applyBorder="1" applyAlignment="1">
      <alignment horizontal="center" vertical="center" wrapText="1"/>
    </xf>
    <xf numFmtId="0" fontId="59" fillId="0" borderId="9" xfId="0" applyFont="1" applyBorder="1"/>
    <xf numFmtId="176" fontId="59" fillId="0" borderId="9" xfId="0" applyNumberFormat="1" applyFont="1" applyBorder="1"/>
    <xf numFmtId="0" fontId="59" fillId="0" borderId="9" xfId="0" applyFont="1" applyBorder="1" applyAlignment="1">
      <alignment horizontal="center" vertical="center" wrapText="1"/>
    </xf>
    <xf numFmtId="0" fontId="58" fillId="0" borderId="9" xfId="0" applyFont="1" applyBorder="1" applyAlignment="1">
      <alignment horizontal="center"/>
    </xf>
    <xf numFmtId="176" fontId="58" fillId="0" borderId="9" xfId="0" applyNumberFormat="1" applyFont="1" applyBorder="1"/>
    <xf numFmtId="0" fontId="59" fillId="0" borderId="0" xfId="0" applyFont="1"/>
    <xf numFmtId="0" fontId="14" fillId="2" borderId="1" xfId="0" applyFont="1" applyFill="1" applyBorder="1" applyAlignment="1" applyProtection="1">
      <alignment horizontal="center" vertical="center" wrapText="1"/>
      <protection locked="0"/>
    </xf>
    <xf numFmtId="49" fontId="14" fillId="2" borderId="1" xfId="0" applyNumberFormat="1" applyFont="1" applyFill="1" applyBorder="1" applyAlignment="1" applyProtection="1">
      <alignment horizontal="center" vertical="center" wrapText="1"/>
      <protection locked="0"/>
    </xf>
    <xf numFmtId="0" fontId="17" fillId="0" borderId="1" xfId="0" applyFont="1" applyBorder="1" applyAlignment="1" applyProtection="1">
      <alignment horizontal="center"/>
      <protection locked="0"/>
    </xf>
    <xf numFmtId="0" fontId="17" fillId="0" borderId="1" xfId="0" applyFont="1" applyBorder="1" applyProtection="1">
      <protection locked="0"/>
    </xf>
    <xf numFmtId="0" fontId="5" fillId="0" borderId="1" xfId="0" applyFont="1" applyBorder="1" applyAlignment="1">
      <alignment horizontal="center" vertical="center" wrapText="1"/>
    </xf>
    <xf numFmtId="168" fontId="6" fillId="7"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6" fillId="7" borderId="1" xfId="0" applyFont="1" applyFill="1" applyBorder="1" applyAlignment="1" applyProtection="1">
      <alignment horizontal="left" vertical="center"/>
      <protection locked="0"/>
    </xf>
    <xf numFmtId="0" fontId="6" fillId="7" borderId="1" xfId="0" applyFont="1" applyFill="1" applyBorder="1" applyAlignment="1">
      <alignment horizontal="left" vertical="center"/>
    </xf>
    <xf numFmtId="0" fontId="27" fillId="0" borderId="1" xfId="0" applyFont="1" applyBorder="1" applyAlignment="1" applyProtection="1">
      <alignment horizontal="center"/>
      <protection locked="0"/>
    </xf>
    <xf numFmtId="0" fontId="27" fillId="0" borderId="1" xfId="0" applyFont="1" applyBorder="1" applyProtection="1">
      <protection locked="0"/>
    </xf>
    <xf numFmtId="0" fontId="61" fillId="0" borderId="0" xfId="0" applyFont="1" applyAlignment="1">
      <alignment horizontal="left" vertical="center" wrapText="1"/>
    </xf>
    <xf numFmtId="0" fontId="61" fillId="0" borderId="0" xfId="0" applyFont="1" applyAlignment="1">
      <alignment horizontal="center" vertical="center" wrapText="1"/>
    </xf>
    <xf numFmtId="0" fontId="32" fillId="0" borderId="0" xfId="0" applyFont="1"/>
    <xf numFmtId="0" fontId="62" fillId="7" borderId="1" xfId="0" applyFont="1" applyFill="1" applyBorder="1" applyAlignment="1">
      <alignment horizontal="center"/>
    </xf>
    <xf numFmtId="0" fontId="63" fillId="0" borderId="0" xfId="0" applyFont="1" applyAlignment="1">
      <alignment horizontal="left" vertical="center" wrapText="1"/>
    </xf>
    <xf numFmtId="0" fontId="65" fillId="0" borderId="0" xfId="0" applyFont="1"/>
    <xf numFmtId="0" fontId="67" fillId="0" borderId="0" xfId="0" applyFont="1"/>
    <xf numFmtId="168" fontId="67" fillId="0" borderId="0" xfId="0" applyNumberFormat="1" applyFont="1"/>
    <xf numFmtId="3" fontId="67" fillId="0" borderId="0" xfId="0" applyNumberFormat="1" applyFont="1"/>
    <xf numFmtId="0" fontId="69" fillId="0" borderId="0" xfId="0" applyFont="1"/>
    <xf numFmtId="0" fontId="61" fillId="0" borderId="0" xfId="0" applyFont="1"/>
    <xf numFmtId="0" fontId="0" fillId="7" borderId="1" xfId="0" applyFill="1" applyBorder="1"/>
    <xf numFmtId="0" fontId="70" fillId="0" borderId="0" xfId="0" applyFont="1"/>
    <xf numFmtId="0" fontId="63" fillId="0" borderId="0" xfId="0" applyFont="1" applyAlignment="1">
      <alignment horizontal="center" vertical="center" wrapText="1"/>
    </xf>
    <xf numFmtId="0" fontId="61" fillId="8" borderId="1" xfId="0" applyFont="1" applyFill="1" applyBorder="1" applyAlignment="1">
      <alignment horizontal="center" vertical="center" wrapText="1"/>
    </xf>
    <xf numFmtId="0" fontId="63" fillId="0" borderId="1" xfId="0" applyFont="1" applyBorder="1" applyAlignment="1">
      <alignment horizontal="center" vertical="center" wrapText="1"/>
    </xf>
    <xf numFmtId="0" fontId="63" fillId="0" borderId="1" xfId="0" applyFont="1" applyBorder="1" applyAlignment="1">
      <alignment horizontal="left" vertical="top" wrapText="1"/>
    </xf>
    <xf numFmtId="0" fontId="63" fillId="0" borderId="1" xfId="0" applyFont="1" applyBorder="1" applyAlignment="1">
      <alignment horizontal="left" vertical="center" wrapText="1"/>
    </xf>
    <xf numFmtId="0" fontId="71" fillId="0" borderId="0" xfId="0" applyFont="1" applyAlignment="1">
      <alignment horizontal="right" vertical="center"/>
    </xf>
    <xf numFmtId="0" fontId="5" fillId="9" borderId="1" xfId="0" applyFont="1" applyFill="1" applyBorder="1" applyAlignment="1">
      <alignment horizontal="left" vertical="center" wrapText="1"/>
    </xf>
    <xf numFmtId="0" fontId="5" fillId="9" borderId="1" xfId="0" applyFont="1" applyFill="1" applyBorder="1" applyAlignment="1">
      <alignment horizontal="center" vertical="center" wrapText="1"/>
    </xf>
    <xf numFmtId="0" fontId="4" fillId="0" borderId="0" xfId="0" applyFont="1" applyAlignment="1">
      <alignment vertical="center"/>
    </xf>
    <xf numFmtId="0" fontId="74" fillId="0" borderId="0" xfId="0" applyFont="1" applyAlignment="1">
      <alignment horizontal="right" vertical="center"/>
    </xf>
    <xf numFmtId="0" fontId="75" fillId="0" borderId="0" xfId="0" applyFont="1" applyAlignment="1">
      <alignment horizontal="right" vertical="center"/>
    </xf>
    <xf numFmtId="0" fontId="17" fillId="0" borderId="0" xfId="0" applyFont="1" applyAlignment="1">
      <alignment horizontal="center" vertical="center"/>
    </xf>
    <xf numFmtId="0" fontId="76" fillId="0" borderId="0" xfId="0" applyFont="1" applyAlignment="1">
      <alignment horizontal="center" vertical="center"/>
    </xf>
    <xf numFmtId="0" fontId="77" fillId="0" borderId="0" xfId="0" applyFont="1"/>
    <xf numFmtId="0" fontId="78" fillId="10" borderId="11" xfId="0" applyFont="1" applyFill="1" applyBorder="1" applyAlignment="1">
      <alignment horizontal="center" vertical="center" wrapText="1"/>
    </xf>
    <xf numFmtId="0" fontId="82" fillId="0" borderId="11" xfId="0" applyFont="1" applyBorder="1" applyAlignment="1">
      <alignment horizontal="left" vertical="center" wrapText="1"/>
    </xf>
    <xf numFmtId="0" fontId="82" fillId="0" borderId="11" xfId="0" applyFont="1" applyBorder="1" applyAlignment="1">
      <alignment horizontal="center" vertical="center" wrapText="1"/>
    </xf>
    <xf numFmtId="3" fontId="87" fillId="0" borderId="0" xfId="0" applyNumberFormat="1" applyFont="1" applyAlignment="1">
      <alignment horizontal="center" vertical="center" wrapText="1"/>
    </xf>
    <xf numFmtId="2" fontId="6" fillId="0" borderId="1" xfId="0" applyNumberFormat="1" applyFont="1" applyBorder="1" applyAlignment="1">
      <alignment horizontal="center" vertical="center" wrapText="1"/>
    </xf>
    <xf numFmtId="0" fontId="88" fillId="0" borderId="1"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61" fillId="0" borderId="0" xfId="0" applyFont="1" applyAlignment="1">
      <alignment horizontal="left" vertical="center"/>
    </xf>
    <xf numFmtId="0" fontId="72" fillId="0" borderId="0" xfId="0" applyFont="1" applyAlignment="1">
      <alignment horizontal="center" vertical="center"/>
    </xf>
    <xf numFmtId="0" fontId="63" fillId="0" borderId="0" xfId="0" applyFont="1" applyAlignment="1">
      <alignment horizontal="left" vertical="center"/>
    </xf>
    <xf numFmtId="167" fontId="31" fillId="11" borderId="1" xfId="0" applyNumberFormat="1" applyFont="1" applyFill="1" applyBorder="1"/>
    <xf numFmtId="0" fontId="20" fillId="0" borderId="1" xfId="0" applyFont="1" applyBorder="1" applyAlignment="1">
      <alignment horizontal="center" vertical="center"/>
    </xf>
    <xf numFmtId="14" fontId="4" fillId="0" borderId="1" xfId="0" applyNumberFormat="1" applyFont="1" applyBorder="1"/>
    <xf numFmtId="167" fontId="9" fillId="2" borderId="1" xfId="0" applyNumberFormat="1" applyFont="1" applyFill="1" applyBorder="1" applyAlignment="1">
      <alignment horizontal="center"/>
    </xf>
    <xf numFmtId="0" fontId="8" fillId="2" borderId="1" xfId="0" applyFont="1" applyFill="1" applyBorder="1" applyAlignment="1">
      <alignment horizontal="center" vertical="center"/>
    </xf>
    <xf numFmtId="167" fontId="8" fillId="2" borderId="1" xfId="0" applyNumberFormat="1" applyFont="1" applyFill="1" applyBorder="1" applyAlignment="1">
      <alignment horizontal="center" vertical="center"/>
    </xf>
    <xf numFmtId="3" fontId="13" fillId="0" borderId="0" xfId="0" applyNumberFormat="1" applyFont="1" applyAlignment="1">
      <alignment horizontal="center" vertical="center"/>
    </xf>
    <xf numFmtId="1" fontId="5" fillId="3" borderId="0" xfId="0" applyNumberFormat="1" applyFont="1" applyFill="1" applyAlignment="1">
      <alignment horizontal="center" vertical="center"/>
    </xf>
    <xf numFmtId="1" fontId="5" fillId="3" borderId="3" xfId="0" applyNumberFormat="1" applyFont="1" applyFill="1" applyBorder="1" applyAlignment="1">
      <alignment horizontal="center" vertical="center"/>
    </xf>
    <xf numFmtId="3" fontId="14" fillId="2" borderId="1" xfId="0" applyNumberFormat="1" applyFont="1" applyFill="1" applyBorder="1" applyAlignment="1">
      <alignment vertical="center" wrapText="1"/>
    </xf>
    <xf numFmtId="3" fontId="14" fillId="2" borderId="1" xfId="0" applyNumberFormat="1" applyFont="1" applyFill="1" applyBorder="1" applyAlignment="1">
      <alignment horizontal="center" vertical="center" wrapText="1"/>
    </xf>
    <xf numFmtId="0" fontId="15" fillId="2" borderId="4" xfId="0" applyFont="1" applyFill="1" applyBorder="1" applyAlignment="1">
      <alignment horizontal="center" vertical="center" wrapText="1"/>
    </xf>
    <xf numFmtId="0" fontId="15" fillId="2" borderId="4" xfId="0" applyFont="1" applyFill="1" applyBorder="1" applyAlignment="1">
      <alignment horizontal="center" vertical="center"/>
    </xf>
    <xf numFmtId="0" fontId="14" fillId="2" borderId="2" xfId="0" applyFont="1" applyFill="1" applyBorder="1" applyAlignment="1">
      <alignment horizontal="center" vertical="center" wrapText="1"/>
    </xf>
    <xf numFmtId="3" fontId="16" fillId="2" borderId="1" xfId="0" applyNumberFormat="1" applyFont="1" applyFill="1" applyBorder="1" applyAlignment="1">
      <alignment horizontal="center" vertical="center" wrapText="1"/>
    </xf>
    <xf numFmtId="0" fontId="17" fillId="0" borderId="1" xfId="0" applyFont="1" applyBorder="1" applyAlignment="1">
      <alignment horizontal="center" vertical="center"/>
    </xf>
    <xf numFmtId="0" fontId="17" fillId="0" borderId="1" xfId="0" applyFont="1" applyBorder="1"/>
    <xf numFmtId="165" fontId="5" fillId="0" borderId="3" xfId="0" applyNumberFormat="1" applyFont="1" applyBorder="1" applyAlignment="1">
      <alignment horizontal="center" vertical="center"/>
    </xf>
    <xf numFmtId="165" fontId="14" fillId="2" borderId="1" xfId="0" applyNumberFormat="1" applyFont="1" applyFill="1" applyBorder="1" applyAlignment="1">
      <alignment horizontal="center" vertical="center"/>
    </xf>
    <xf numFmtId="0" fontId="14" fillId="2" borderId="1" xfId="0" applyFont="1" applyFill="1" applyBorder="1" applyAlignment="1">
      <alignment horizontal="center" vertical="center"/>
    </xf>
    <xf numFmtId="0" fontId="14" fillId="2" borderId="1" xfId="0" applyFont="1" applyFill="1" applyBorder="1" applyAlignment="1">
      <alignment horizontal="center" vertical="center" wrapText="1"/>
    </xf>
    <xf numFmtId="167" fontId="14" fillId="2" borderId="1" xfId="0" applyNumberFormat="1" applyFont="1" applyFill="1" applyBorder="1" applyAlignment="1">
      <alignment horizontal="center" vertical="center" wrapText="1"/>
    </xf>
    <xf numFmtId="0" fontId="7" fillId="0" borderId="0" xfId="0" applyFont="1" applyAlignment="1">
      <alignment horizontal="center"/>
    </xf>
    <xf numFmtId="0" fontId="30" fillId="2" borderId="1" xfId="0" applyFont="1" applyFill="1" applyBorder="1" applyAlignment="1">
      <alignment horizontal="center" vertical="center"/>
    </xf>
    <xf numFmtId="0" fontId="30" fillId="2" borderId="1" xfId="0" applyFont="1" applyFill="1" applyBorder="1" applyAlignment="1">
      <alignment horizontal="center" vertical="center" wrapText="1"/>
    </xf>
    <xf numFmtId="167" fontId="30" fillId="2" borderId="1" xfId="0" applyNumberFormat="1" applyFont="1" applyFill="1" applyBorder="1" applyAlignment="1">
      <alignment horizontal="center" vertical="center"/>
    </xf>
    <xf numFmtId="0" fontId="34" fillId="0" borderId="0" xfId="0" applyFont="1" applyAlignment="1">
      <alignment horizontal="center"/>
    </xf>
    <xf numFmtId="167" fontId="34" fillId="0" borderId="0" xfId="0" applyNumberFormat="1" applyFont="1" applyAlignment="1">
      <alignment horizontal="center"/>
    </xf>
    <xf numFmtId="0" fontId="35" fillId="0" borderId="0" xfId="0" applyFont="1" applyAlignment="1">
      <alignment horizontal="center"/>
    </xf>
    <xf numFmtId="0" fontId="36" fillId="0" borderId="0" xfId="0" applyFont="1" applyAlignment="1">
      <alignment horizontal="left"/>
    </xf>
    <xf numFmtId="167" fontId="36" fillId="0" borderId="0" xfId="0" applyNumberFormat="1" applyFont="1" applyAlignment="1">
      <alignment horizontal="center"/>
    </xf>
    <xf numFmtId="167" fontId="33" fillId="0" borderId="0" xfId="0" applyNumberFormat="1" applyFont="1" applyAlignment="1">
      <alignment horizontal="center"/>
    </xf>
    <xf numFmtId="167" fontId="8" fillId="2" borderId="1" xfId="0" applyNumberFormat="1" applyFont="1" applyFill="1" applyBorder="1" applyAlignment="1">
      <alignment horizontal="center" vertical="center" wrapText="1"/>
    </xf>
    <xf numFmtId="167" fontId="8" fillId="2" borderId="12" xfId="0" applyNumberFormat="1" applyFont="1" applyFill="1" applyBorder="1" applyAlignment="1">
      <alignment horizontal="center" vertical="center" wrapText="1"/>
    </xf>
    <xf numFmtId="167" fontId="8" fillId="2" borderId="13" xfId="0" applyNumberFormat="1" applyFont="1" applyFill="1" applyBorder="1" applyAlignment="1">
      <alignment horizontal="center" vertical="center" wrapText="1"/>
    </xf>
    <xf numFmtId="0" fontId="34" fillId="0" borderId="3" xfId="0" applyFont="1" applyBorder="1" applyAlignment="1">
      <alignment horizontal="center" vertical="center"/>
    </xf>
    <xf numFmtId="0" fontId="8" fillId="2" borderId="1" xfId="0" applyFont="1" applyFill="1" applyBorder="1" applyAlignment="1">
      <alignment horizontal="center" vertical="center" wrapText="1"/>
    </xf>
    <xf numFmtId="3" fontId="8" fillId="2" borderId="1" xfId="0" applyNumberFormat="1" applyFont="1" applyFill="1" applyBorder="1" applyAlignment="1">
      <alignment horizontal="center" vertical="center"/>
    </xf>
    <xf numFmtId="3" fontId="8" fillId="2" borderId="1" xfId="0" applyNumberFormat="1" applyFont="1" applyFill="1" applyBorder="1" applyAlignment="1">
      <alignment horizontal="center" vertical="center" wrapText="1"/>
    </xf>
    <xf numFmtId="38" fontId="45" fillId="0" borderId="0" xfId="0" applyNumberFormat="1" applyFont="1" applyAlignment="1">
      <alignment horizontal="center" vertical="center" wrapText="1"/>
    </xf>
    <xf numFmtId="38" fontId="31" fillId="0" borderId="0" xfId="0" applyNumberFormat="1" applyFont="1" applyAlignment="1">
      <alignment horizontal="center" vertical="center"/>
    </xf>
    <xf numFmtId="165" fontId="45" fillId="0" borderId="0" xfId="0" applyNumberFormat="1" applyFont="1" applyAlignment="1">
      <alignment horizontal="center" vertical="center"/>
    </xf>
    <xf numFmtId="165" fontId="8" fillId="2" borderId="1" xfId="0" applyNumberFormat="1" applyFont="1" applyFill="1" applyBorder="1" applyAlignment="1">
      <alignment horizontal="center" vertical="center"/>
    </xf>
    <xf numFmtId="0" fontId="53" fillId="0" borderId="0" xfId="0" applyFont="1" applyAlignment="1">
      <alignment horizontal="center" vertical="center"/>
    </xf>
    <xf numFmtId="3" fontId="53" fillId="0" borderId="0" xfId="0" applyNumberFormat="1" applyFont="1" applyAlignment="1">
      <alignment horizontal="center" vertical="center"/>
    </xf>
    <xf numFmtId="3" fontId="54" fillId="0" borderId="0" xfId="0" applyNumberFormat="1" applyFont="1" applyAlignment="1">
      <alignment horizontal="center"/>
    </xf>
    <xf numFmtId="0" fontId="11" fillId="0" borderId="0" xfId="0" applyFont="1" applyAlignment="1">
      <alignment horizontal="center" vertical="center"/>
    </xf>
    <xf numFmtId="174" fontId="11" fillId="0" borderId="0" xfId="0" applyNumberFormat="1" applyFont="1" applyAlignment="1">
      <alignment horizontal="center" vertical="center"/>
    </xf>
    <xf numFmtId="3" fontId="11" fillId="0" borderId="0" xfId="0" applyNumberFormat="1" applyFont="1" applyAlignment="1">
      <alignment horizontal="center" vertical="center"/>
    </xf>
    <xf numFmtId="3" fontId="49" fillId="2" borderId="1" xfId="0" applyNumberFormat="1" applyFont="1" applyFill="1" applyBorder="1" applyAlignment="1">
      <alignment horizontal="center" vertical="center" wrapText="1"/>
    </xf>
    <xf numFmtId="176" fontId="59" fillId="0" borderId="9" xfId="0" applyNumberFormat="1" applyFont="1" applyBorder="1" applyAlignment="1">
      <alignment horizontal="center"/>
    </xf>
    <xf numFmtId="0" fontId="58" fillId="0" borderId="10" xfId="0" applyFont="1" applyBorder="1" applyAlignment="1">
      <alignment horizontal="center" vertical="center" wrapText="1"/>
    </xf>
    <xf numFmtId="0" fontId="58" fillId="6" borderId="9" xfId="0" applyFont="1" applyFill="1" applyBorder="1"/>
    <xf numFmtId="176" fontId="58" fillId="6" borderId="9" xfId="0" applyNumberFormat="1" applyFont="1" applyFill="1" applyBorder="1"/>
    <xf numFmtId="175" fontId="7" fillId="0" borderId="0" xfId="0" applyNumberFormat="1" applyFont="1" applyAlignment="1">
      <alignment horizontal="center" vertical="center" wrapText="1"/>
    </xf>
    <xf numFmtId="175" fontId="56" fillId="0" borderId="0" xfId="0" applyNumberFormat="1" applyFont="1" applyAlignment="1">
      <alignment horizontal="center" vertical="center" wrapText="1"/>
    </xf>
    <xf numFmtId="0" fontId="57" fillId="0" borderId="0" xfId="0" applyFont="1" applyAlignment="1">
      <alignment horizontal="center" vertical="center"/>
    </xf>
    <xf numFmtId="0" fontId="45" fillId="0" borderId="3" xfId="0" applyFont="1" applyBorder="1" applyAlignment="1" applyProtection="1">
      <alignment horizontal="center" vertical="center" wrapText="1"/>
      <protection locked="0"/>
    </xf>
    <xf numFmtId="0" fontId="61" fillId="0" borderId="0" xfId="0" applyFont="1" applyAlignment="1">
      <alignment horizontal="left" vertical="center" wrapText="1"/>
    </xf>
    <xf numFmtId="0" fontId="61" fillId="0" borderId="0" xfId="0" applyFont="1" applyAlignment="1">
      <alignment horizontal="center" vertical="center" wrapText="1"/>
    </xf>
    <xf numFmtId="0" fontId="63" fillId="0" borderId="0" xfId="0" applyFont="1" applyAlignment="1">
      <alignment horizontal="left" vertical="center" wrapText="1"/>
    </xf>
    <xf numFmtId="0" fontId="64" fillId="0" borderId="0" xfId="0" applyFont="1" applyAlignment="1">
      <alignment horizontal="center" vertical="center" wrapText="1"/>
    </xf>
    <xf numFmtId="0" fontId="66" fillId="0" borderId="0" xfId="0" applyFont="1" applyAlignment="1">
      <alignment horizontal="left" vertical="center" wrapText="1"/>
    </xf>
    <xf numFmtId="0" fontId="66" fillId="0" borderId="0" xfId="0" applyFont="1" applyAlignment="1">
      <alignment horizontal="center" vertical="center" wrapText="1"/>
    </xf>
    <xf numFmtId="0" fontId="68" fillId="0" borderId="0" xfId="0" applyFont="1" applyAlignment="1">
      <alignment horizontal="center" vertical="center" wrapText="1"/>
    </xf>
    <xf numFmtId="0" fontId="63" fillId="0" borderId="0" xfId="0" applyFont="1" applyAlignment="1">
      <alignment horizontal="left" vertical="top" wrapText="1"/>
    </xf>
    <xf numFmtId="0" fontId="61" fillId="0" borderId="0" xfId="0" applyFont="1" applyAlignment="1">
      <alignment horizontal="left" vertical="top" wrapText="1"/>
    </xf>
    <xf numFmtId="0" fontId="61" fillId="0" borderId="0" xfId="0" applyFont="1" applyAlignment="1">
      <alignment horizontal="left" vertical="center" shrinkToFit="1"/>
    </xf>
    <xf numFmtId="0" fontId="66" fillId="0" borderId="0" xfId="0" applyFont="1" applyAlignment="1">
      <alignment horizontal="left" vertical="center"/>
    </xf>
    <xf numFmtId="0" fontId="63" fillId="0" borderId="0" xfId="0" applyFont="1" applyAlignment="1">
      <alignment horizontal="center" vertical="center" wrapText="1"/>
    </xf>
    <xf numFmtId="0" fontId="66" fillId="0" borderId="0" xfId="0" applyFont="1" applyAlignment="1">
      <alignment horizontal="right" vertical="top" wrapText="1"/>
    </xf>
    <xf numFmtId="0" fontId="61" fillId="8" borderId="1" xfId="0" applyFont="1" applyFill="1" applyBorder="1" applyAlignment="1">
      <alignment horizontal="center" vertical="center" wrapText="1"/>
    </xf>
    <xf numFmtId="0" fontId="61" fillId="0" borderId="1" xfId="0" applyFont="1" applyBorder="1" applyAlignment="1">
      <alignment horizontal="left" vertical="center" wrapText="1"/>
    </xf>
    <xf numFmtId="0" fontId="63" fillId="0" borderId="1" xfId="0" applyFont="1" applyBorder="1" applyAlignment="1">
      <alignment horizontal="left" vertical="top" wrapText="1"/>
    </xf>
    <xf numFmtId="0" fontId="63" fillId="0" borderId="1" xfId="0" applyFont="1" applyBorder="1" applyAlignment="1">
      <alignment horizontal="center" vertical="center" wrapText="1"/>
    </xf>
    <xf numFmtId="0" fontId="63" fillId="0" borderId="1" xfId="0" applyFont="1" applyBorder="1" applyAlignment="1">
      <alignment horizontal="left" vertical="center" wrapText="1"/>
    </xf>
    <xf numFmtId="0" fontId="32" fillId="0" borderId="0" xfId="0" applyFont="1" applyAlignment="1">
      <alignment horizontal="center" vertical="center" wrapText="1"/>
    </xf>
    <xf numFmtId="0" fontId="31" fillId="0" borderId="0" xfId="0" applyFont="1" applyAlignment="1">
      <alignment horizontal="center" vertical="center" wrapText="1"/>
    </xf>
    <xf numFmtId="0" fontId="72" fillId="0" borderId="0" xfId="0" applyFont="1" applyAlignment="1">
      <alignment horizontal="center" vertical="center" wrapText="1"/>
    </xf>
    <xf numFmtId="0" fontId="13" fillId="0" borderId="0" xfId="0" applyFont="1" applyAlignment="1">
      <alignment horizontal="center" vertical="center" wrapText="1"/>
    </xf>
    <xf numFmtId="0" fontId="61" fillId="0" borderId="0" xfId="0" applyFont="1" applyAlignment="1">
      <alignment horizontal="justify" vertical="top" wrapText="1"/>
    </xf>
    <xf numFmtId="0" fontId="63" fillId="0" borderId="0" xfId="0" applyFont="1" applyAlignment="1">
      <alignment horizontal="justify" vertical="top" wrapText="1"/>
    </xf>
    <xf numFmtId="0" fontId="5" fillId="9"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3" fillId="0" borderId="0" xfId="0" applyFont="1" applyAlignment="1">
      <alignment horizontal="justify" vertical="top" wrapText="1"/>
    </xf>
    <xf numFmtId="9" fontId="6" fillId="0" borderId="1" xfId="0" applyNumberFormat="1" applyFont="1" applyBorder="1" applyAlignment="1">
      <alignment horizontal="center" vertical="center" wrapText="1"/>
    </xf>
    <xf numFmtId="0" fontId="78" fillId="0" borderId="0" xfId="0" applyFont="1"/>
    <xf numFmtId="0" fontId="78" fillId="0" borderId="0" xfId="0" applyFont="1" applyAlignment="1">
      <alignment horizontal="center"/>
    </xf>
    <xf numFmtId="0" fontId="79" fillId="0" borderId="0" xfId="0" applyFont="1" applyAlignment="1">
      <alignment horizontal="center"/>
    </xf>
    <xf numFmtId="0" fontId="80" fillId="2" borderId="0" xfId="0" applyFont="1" applyFill="1" applyAlignment="1">
      <alignment horizontal="center" vertical="center" wrapText="1"/>
    </xf>
    <xf numFmtId="0" fontId="81" fillId="0" borderId="0" xfId="0" applyFont="1" applyAlignment="1">
      <alignment horizontal="left" vertical="center"/>
    </xf>
    <xf numFmtId="0" fontId="84" fillId="0" borderId="0" xfId="0" applyFont="1" applyAlignment="1">
      <alignment horizontal="left" vertical="top" wrapText="1"/>
    </xf>
    <xf numFmtId="0" fontId="83" fillId="0" borderId="0" xfId="0" applyFont="1" applyAlignment="1">
      <alignment horizontal="left" vertical="top" wrapText="1"/>
    </xf>
    <xf numFmtId="0" fontId="85" fillId="0" borderId="0" xfId="0" applyFont="1"/>
    <xf numFmtId="0" fontId="86" fillId="0" borderId="0" xfId="0" applyFont="1" applyAlignment="1">
      <alignment horizontal="center"/>
    </xf>
    <xf numFmtId="0" fontId="54" fillId="0" borderId="0" xfId="0" applyFont="1" applyAlignment="1">
      <alignment horizontal="left" vertical="center" wrapText="1"/>
    </xf>
    <xf numFmtId="0" fontId="5" fillId="0" borderId="0" xfId="0" applyFont="1"/>
    <xf numFmtId="0" fontId="54" fillId="0" borderId="0" xfId="0" applyFont="1"/>
    <xf numFmtId="0" fontId="5" fillId="0" borderId="1" xfId="0" applyFont="1" applyBorder="1" applyAlignment="1">
      <alignment horizontal="center" vertical="center" wrapText="1"/>
    </xf>
    <xf numFmtId="0" fontId="12" fillId="0" borderId="0" xfId="0" applyFont="1" applyAlignment="1">
      <alignment horizontal="left" vertical="center" wrapText="1"/>
    </xf>
    <xf numFmtId="0" fontId="19" fillId="0" borderId="0" xfId="0" applyFont="1" applyAlignment="1">
      <alignment horizontal="left" vertical="center" wrapText="1"/>
    </xf>
    <xf numFmtId="0" fontId="89" fillId="0" borderId="0" xfId="0" applyFont="1" applyAlignment="1">
      <alignment horizontal="left" vertical="center" wrapText="1"/>
    </xf>
    <xf numFmtId="0" fontId="0" fillId="0" borderId="0" xfId="0"/>
    <xf numFmtId="0" fontId="63" fillId="0" borderId="3" xfId="0" applyFont="1" applyBorder="1" applyAlignment="1">
      <alignment horizontal="center" vertical="center" wrapText="1"/>
    </xf>
    <xf numFmtId="0" fontId="61" fillId="0" borderId="3" xfId="0" applyFont="1" applyBorder="1" applyAlignment="1">
      <alignment horizontal="center" vertical="center" wrapText="1"/>
    </xf>
    <xf numFmtId="0" fontId="63" fillId="0" borderId="0" xfId="0" applyFont="1" applyAlignment="1">
      <alignment horizontal="left" vertical="center"/>
    </xf>
    <xf numFmtId="0" fontId="63" fillId="0" borderId="0" xfId="0" applyFont="1" applyAlignment="1">
      <alignment horizontal="right" vertical="center"/>
    </xf>
    <xf numFmtId="0" fontId="63" fillId="0" borderId="0" xfId="0" applyFont="1" applyAlignment="1">
      <alignment horizontal="left" vertical="top"/>
    </xf>
    <xf numFmtId="0" fontId="24" fillId="0" borderId="0" xfId="0" applyFont="1" applyAlignment="1">
      <alignment horizontal="center" vertical="center" wrapText="1"/>
    </xf>
    <xf numFmtId="0" fontId="66" fillId="0" borderId="0" xfId="0" applyFont="1" applyAlignment="1">
      <alignment horizontal="left" vertical="top"/>
    </xf>
    <xf numFmtId="0" fontId="31" fillId="0" borderId="3" xfId="0" applyFont="1" applyBorder="1" applyAlignment="1">
      <alignment horizontal="center" vertical="center" wrapText="1"/>
    </xf>
    <xf numFmtId="0" fontId="32" fillId="0" borderId="3" xfId="0" applyFont="1" applyBorder="1" applyAlignment="1">
      <alignment horizontal="center" vertical="center" wrapText="1"/>
    </xf>
    <xf numFmtId="0" fontId="31" fillId="0" borderId="0" xfId="0" applyFont="1" applyAlignment="1">
      <alignment horizontal="left" vertical="center"/>
    </xf>
    <xf numFmtId="0" fontId="31" fillId="0" borderId="0" xfId="0" applyFont="1" applyAlignment="1">
      <alignment horizontal="right" vertical="center"/>
    </xf>
    <xf numFmtId="0" fontId="31" fillId="0" borderId="0" xfId="0" applyFont="1" applyAlignment="1">
      <alignment horizontal="left" vertical="top" wrapText="1"/>
    </xf>
    <xf numFmtId="0" fontId="32" fillId="0" borderId="0" xfId="0" applyFont="1" applyAlignment="1">
      <alignment horizontal="left" vertical="top" wrapText="1"/>
    </xf>
    <xf numFmtId="0" fontId="31" fillId="0" borderId="0" xfId="0" applyFont="1" applyAlignment="1">
      <alignment horizontal="left" vertical="top"/>
    </xf>
    <xf numFmtId="0" fontId="54" fillId="0" borderId="0" xfId="0" applyFont="1" applyAlignment="1">
      <alignment horizontal="center" vertical="center" wrapText="1"/>
    </xf>
    <xf numFmtId="0" fontId="72" fillId="0" borderId="0" xfId="0" applyFont="1" applyAlignment="1">
      <alignment horizontal="left" vertical="top"/>
    </xf>
  </cellXfs>
  <cellStyles count="10">
    <cellStyle name="Bình thường 2" xfId="1" xr:uid="{00000000-0005-0000-0000-000006000000}"/>
    <cellStyle name="Comma 2" xfId="2" xr:uid="{00000000-0005-0000-0000-000007000000}"/>
    <cellStyle name="Comma 2 4" xfId="3" xr:uid="{00000000-0005-0000-0000-000008000000}"/>
    <cellStyle name="Comma 3" xfId="4" xr:uid="{00000000-0005-0000-0000-000009000000}"/>
    <cellStyle name="Comma 4" xfId="5" xr:uid="{00000000-0005-0000-0000-00000A000000}"/>
    <cellStyle name="Comma 5" xfId="6" xr:uid="{00000000-0005-0000-0000-00000B000000}"/>
    <cellStyle name="Normal" xfId="0" builtinId="0"/>
    <cellStyle name="Normal 2" xfId="7" xr:uid="{00000000-0005-0000-0000-00000C000000}"/>
    <cellStyle name="Normal 3" xfId="8" xr:uid="{00000000-0005-0000-0000-00000D000000}"/>
    <cellStyle name="Normal 4" xfId="9" xr:uid="{00000000-0005-0000-0000-00000E00000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color rgb="FFFF0000"/>
      </font>
    </dxf>
    <dxf>
      <fill>
        <patternFill>
          <bgColor rgb="FFC0C0C0"/>
        </patternFill>
      </fill>
    </dxf>
    <dxf>
      <font>
        <color rgb="FFFFFFFF"/>
      </font>
      <fill>
        <patternFill>
          <bgColor rgb="FFFFFF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FF2CC"/>
      <rgbColor rgb="FFDDEBF7"/>
      <rgbColor rgb="FF660066"/>
      <rgbColor rgb="FFFF66FF"/>
      <rgbColor rgb="FF0070C0"/>
      <rgbColor rgb="FFD9D9D9"/>
      <rgbColor rgb="FF000080"/>
      <rgbColor rgb="FFFF00FF"/>
      <rgbColor rgb="FFFFFF00"/>
      <rgbColor rgb="FF00FFFF"/>
      <rgbColor rgb="FF800080"/>
      <rgbColor rgb="FFC00000"/>
      <rgbColor rgb="FF008080"/>
      <rgbColor rgb="FF0000FF"/>
      <rgbColor rgb="FF00B0F0"/>
      <rgbColor rgb="FFD9E2F3"/>
      <rgbColor rgb="FFD9E1F2"/>
      <rgbColor rgb="FFFCE4D6"/>
      <rgbColor rgb="FFB7B7B7"/>
      <rgbColor rgb="FFFFC7CE"/>
      <rgbColor rgb="FFCC99FF"/>
      <rgbColor rgb="FFFAC090"/>
      <rgbColor rgb="FF3366FF"/>
      <rgbColor rgb="FF33CCCC"/>
      <rgbColor rgb="FF92D050"/>
      <rgbColor rgb="FFFFCC00"/>
      <rgbColor rgb="FFFF9900"/>
      <rgbColor rgb="FFFF6600"/>
      <rgbColor rgb="FF555555"/>
      <rgbColor rgb="FF999999"/>
      <rgbColor rgb="FF081B3A"/>
      <rgbColor rgb="FF00B050"/>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66FF"/>
  </sheetPr>
  <dimension ref="A1:P10"/>
  <sheetViews>
    <sheetView tabSelected="1" zoomScaleNormal="100" workbookViewId="0">
      <pane ySplit="6" topLeftCell="A7" activePane="bottomLeft" state="frozen"/>
      <selection pane="bottomLeft" activeCell="F17" sqref="F17"/>
    </sheetView>
  </sheetViews>
  <sheetFormatPr defaultColWidth="9.109375" defaultRowHeight="13.2" x14ac:dyDescent="0.25"/>
  <cols>
    <col min="1" max="1" width="6.109375" style="6" customWidth="1"/>
    <col min="2" max="2" width="19.5546875" style="6" customWidth="1"/>
    <col min="3" max="3" width="11.77734375" style="6" customWidth="1"/>
    <col min="4" max="4" width="12.88671875" style="7" customWidth="1"/>
    <col min="5" max="5" width="11.109375" style="7" customWidth="1"/>
    <col min="6" max="7" width="11.44140625" style="7" customWidth="1"/>
    <col min="8" max="8" width="12.6640625" style="7" customWidth="1"/>
    <col min="9" max="9" width="12.33203125" style="7" customWidth="1"/>
    <col min="10" max="10" width="14.44140625" style="7" customWidth="1"/>
    <col min="11" max="11" width="14.88671875" style="8" customWidth="1"/>
    <col min="12" max="12" width="14.5546875" style="9" customWidth="1"/>
    <col min="13" max="13" width="14.6640625" style="6" customWidth="1"/>
    <col min="14" max="14" width="30.44140625" style="6" customWidth="1"/>
    <col min="15" max="15" width="9.109375" style="6"/>
    <col min="16" max="16" width="12.44140625" style="7" customWidth="1"/>
    <col min="17" max="16384" width="9.109375" style="6"/>
  </cols>
  <sheetData>
    <row r="1" spans="1:16" ht="13.5" customHeight="1" x14ac:dyDescent="0.25">
      <c r="A1" s="10" t="s">
        <v>2016</v>
      </c>
      <c r="B1" s="11"/>
      <c r="C1" s="11"/>
    </row>
    <row r="2" spans="1:16" ht="13.5" customHeight="1" x14ac:dyDescent="0.25">
      <c r="A2" s="10" t="s">
        <v>2017</v>
      </c>
      <c r="B2" s="11"/>
      <c r="C2" s="11"/>
    </row>
    <row r="3" spans="1:16" ht="17.25" customHeight="1" x14ac:dyDescent="0.3">
      <c r="E3" s="12" t="s">
        <v>0</v>
      </c>
      <c r="F3" s="12"/>
      <c r="G3" s="12"/>
      <c r="H3" s="12"/>
      <c r="I3" s="12"/>
      <c r="J3" s="12"/>
      <c r="K3" s="12"/>
      <c r="L3" s="12"/>
      <c r="M3" s="12"/>
    </row>
    <row r="5" spans="1:16" ht="15" customHeight="1" x14ac:dyDescent="0.25">
      <c r="A5" s="294" t="s">
        <v>1</v>
      </c>
      <c r="B5" s="294" t="s">
        <v>2</v>
      </c>
      <c r="C5" s="294" t="s">
        <v>3</v>
      </c>
      <c r="D5" s="295" t="s">
        <v>4</v>
      </c>
      <c r="E5" s="293"/>
      <c r="F5" s="293"/>
      <c r="G5" s="13"/>
      <c r="H5" s="13"/>
      <c r="I5" s="293"/>
      <c r="J5" s="293"/>
      <c r="K5" s="293"/>
      <c r="L5" s="293"/>
      <c r="M5" s="293"/>
      <c r="N5" s="14"/>
    </row>
    <row r="6" spans="1:16" ht="33" customHeight="1" x14ac:dyDescent="0.25">
      <c r="A6" s="294"/>
      <c r="B6" s="294"/>
      <c r="C6" s="294"/>
      <c r="D6" s="294"/>
      <c r="E6" s="3" t="s">
        <v>5</v>
      </c>
      <c r="F6" s="3" t="s">
        <v>6</v>
      </c>
      <c r="G6" s="3" t="s">
        <v>7</v>
      </c>
      <c r="H6" s="3" t="s">
        <v>8</v>
      </c>
      <c r="I6" s="3" t="s">
        <v>9</v>
      </c>
      <c r="J6" s="3" t="s">
        <v>10</v>
      </c>
      <c r="K6" s="4" t="s">
        <v>11</v>
      </c>
      <c r="L6" s="4" t="s">
        <v>12</v>
      </c>
      <c r="M6" s="4" t="s">
        <v>13</v>
      </c>
      <c r="N6" s="5" t="s">
        <v>14</v>
      </c>
    </row>
    <row r="7" spans="1:16" ht="16.5" customHeight="1" x14ac:dyDescent="0.25">
      <c r="A7" s="15"/>
      <c r="B7" s="16">
        <v>1</v>
      </c>
      <c r="C7" s="16">
        <v>2</v>
      </c>
      <c r="D7" s="16">
        <v>3</v>
      </c>
      <c r="E7" s="16">
        <v>4</v>
      </c>
      <c r="F7" s="16">
        <v>5</v>
      </c>
      <c r="G7" s="16"/>
      <c r="H7" s="16">
        <v>7</v>
      </c>
      <c r="I7" s="16">
        <v>8</v>
      </c>
      <c r="J7" s="16">
        <v>9</v>
      </c>
      <c r="K7" s="16">
        <v>10</v>
      </c>
      <c r="L7" s="16">
        <v>11</v>
      </c>
      <c r="M7" s="16">
        <v>12</v>
      </c>
      <c r="N7" s="16">
        <v>13</v>
      </c>
    </row>
    <row r="8" spans="1:16" s="23" customFormat="1" ht="18.75" customHeight="1" x14ac:dyDescent="0.25">
      <c r="A8" s="17">
        <f>IF(ISNUMBER(D8),COUNT($D$8:D8),"")</f>
        <v>1</v>
      </c>
      <c r="B8" s="18" t="s">
        <v>2020</v>
      </c>
      <c r="C8" s="18" t="s">
        <v>15</v>
      </c>
      <c r="D8" s="19">
        <v>6000000</v>
      </c>
      <c r="E8" s="19">
        <v>2000000</v>
      </c>
      <c r="F8" s="19">
        <v>3000000</v>
      </c>
      <c r="G8" s="19">
        <v>1000000</v>
      </c>
      <c r="H8" s="19"/>
      <c r="I8" s="19">
        <v>6000000</v>
      </c>
      <c r="J8" s="19"/>
      <c r="K8" s="20"/>
      <c r="L8" s="21"/>
      <c r="M8" s="17"/>
      <c r="N8" s="17"/>
      <c r="O8" s="22"/>
      <c r="P8" s="22"/>
    </row>
    <row r="9" spans="1:16" ht="18.75" customHeight="1" x14ac:dyDescent="0.25">
      <c r="A9" s="24" t="s">
        <v>16</v>
      </c>
      <c r="B9" s="25" t="s">
        <v>18</v>
      </c>
      <c r="C9" s="26"/>
      <c r="D9" s="27"/>
      <c r="E9" s="27"/>
      <c r="F9" s="27"/>
      <c r="G9" s="27"/>
      <c r="H9" s="27"/>
      <c r="I9" s="28"/>
      <c r="J9" s="28"/>
      <c r="K9" s="29"/>
      <c r="L9" s="29"/>
      <c r="M9" s="29"/>
      <c r="N9" s="29"/>
      <c r="P9" s="6"/>
    </row>
    <row r="10" spans="1:16" ht="18.75" customHeight="1" x14ac:dyDescent="0.25">
      <c r="A10" s="17">
        <f>IF(ISNUMBER(D10),COUNT($D$8:D10),"")</f>
        <v>2</v>
      </c>
      <c r="B10" s="26" t="s">
        <v>2021</v>
      </c>
      <c r="C10" s="26" t="s">
        <v>19</v>
      </c>
      <c r="D10" s="27">
        <v>5500000</v>
      </c>
      <c r="E10" s="27">
        <v>500000</v>
      </c>
      <c r="F10" s="27">
        <v>500000</v>
      </c>
      <c r="G10" s="19">
        <v>1000000</v>
      </c>
      <c r="H10" s="27"/>
      <c r="I10" s="27">
        <v>5500000</v>
      </c>
      <c r="J10" s="28"/>
      <c r="K10" s="29"/>
      <c r="L10" s="292">
        <v>46296</v>
      </c>
      <c r="M10" s="29"/>
      <c r="N10" s="29" t="s">
        <v>20</v>
      </c>
      <c r="P10" s="6"/>
    </row>
  </sheetData>
  <mergeCells count="6">
    <mergeCell ref="I5:M5"/>
    <mergeCell ref="A5:A6"/>
    <mergeCell ref="B5:B6"/>
    <mergeCell ref="C5:C6"/>
    <mergeCell ref="D5:D6"/>
    <mergeCell ref="E5:F5"/>
  </mergeCells>
  <conditionalFormatting sqref="A5:A6">
    <cfRule type="duplicateValues" dxfId="13" priority="3"/>
  </conditionalFormatting>
  <conditionalFormatting sqref="B1:B1048576 C7:N7">
    <cfRule type="duplicateValues" dxfId="12" priority="5"/>
  </conditionalFormatting>
  <pageMargins left="0.7" right="0.7" top="0.75" bottom="0.75" header="0.511811023622047" footer="0.511811023622047"/>
  <pageSetup scale="55" orientation="landscape"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66FF"/>
    <pageSetUpPr fitToPage="1"/>
  </sheetPr>
  <dimension ref="A1:BY36"/>
  <sheetViews>
    <sheetView zoomScaleNormal="100" workbookViewId="0">
      <pane xSplit="3" ySplit="8" topLeftCell="D9" activePane="bottomRight" state="frozen"/>
      <selection pane="topRight" activeCell="D1" sqref="D1"/>
      <selection pane="bottomLeft" activeCell="A75" sqref="A75"/>
      <selection pane="bottomRight" activeCell="O5" sqref="O5:P5"/>
    </sheetView>
  </sheetViews>
  <sheetFormatPr defaultColWidth="6.5546875" defaultRowHeight="13.8" x14ac:dyDescent="0.3"/>
  <cols>
    <col min="1" max="1" width="5.44140625" style="11" customWidth="1"/>
    <col min="2" max="2" width="21.109375" style="30" customWidth="1"/>
    <col min="3" max="3" width="11.6640625" style="11" customWidth="1"/>
    <col min="4" max="4" width="7.33203125" style="31" customWidth="1"/>
    <col min="5" max="6" width="4.44140625" style="31" customWidth="1"/>
    <col min="7" max="7" width="5.44140625" style="31" customWidth="1"/>
    <col min="8" max="10" width="4.44140625" style="31" customWidth="1"/>
    <col min="11" max="11" width="5.44140625" style="32" customWidth="1"/>
    <col min="12" max="15" width="4.44140625" style="31" customWidth="1"/>
    <col min="16" max="16" width="4" style="31" customWidth="1"/>
    <col min="17" max="22" width="4.44140625" style="31" customWidth="1"/>
    <col min="23" max="23" width="4.33203125" style="31" customWidth="1"/>
    <col min="24" max="24" width="4.44140625" style="31" customWidth="1"/>
    <col min="25" max="25" width="5.44140625" style="31" customWidth="1"/>
    <col min="26" max="29" width="4.44140625" style="31" customWidth="1"/>
    <col min="30" max="30" width="4.88671875" style="31" customWidth="1"/>
    <col min="31" max="32" width="4.44140625" style="31" customWidth="1"/>
    <col min="33" max="33" width="4.88671875" style="31" customWidth="1"/>
    <col min="34" max="34" width="4.33203125" style="31" customWidth="1"/>
    <col min="35" max="35" width="5.109375" style="31" customWidth="1"/>
    <col min="36" max="36" width="6.5546875" style="33"/>
    <col min="37" max="51" width="8.88671875" style="33" customWidth="1"/>
    <col min="52" max="52" width="8.6640625" style="11" customWidth="1"/>
    <col min="53" max="53" width="18.44140625" style="11" customWidth="1"/>
    <col min="54" max="16384" width="6.5546875" style="11"/>
  </cols>
  <sheetData>
    <row r="1" spans="1:77" ht="14.25" customHeight="1" x14ac:dyDescent="0.3">
      <c r="A1" s="10" t="s">
        <v>2016</v>
      </c>
    </row>
    <row r="2" spans="1:77" ht="14.25" customHeight="1" x14ac:dyDescent="0.3">
      <c r="A2" s="10" t="s">
        <v>2017</v>
      </c>
    </row>
    <row r="3" spans="1:77" ht="24" customHeight="1" x14ac:dyDescent="0.3">
      <c r="A3" s="296" t="s">
        <v>21</v>
      </c>
      <c r="B3" s="296"/>
      <c r="C3" s="296"/>
      <c r="D3" s="296"/>
      <c r="E3" s="296"/>
      <c r="F3" s="296"/>
      <c r="G3" s="296"/>
      <c r="H3" s="296"/>
      <c r="I3" s="296"/>
      <c r="J3" s="296"/>
      <c r="K3" s="296"/>
      <c r="L3" s="296"/>
      <c r="M3" s="296"/>
      <c r="N3" s="296"/>
      <c r="O3" s="296"/>
      <c r="P3" s="296"/>
      <c r="Q3" s="296"/>
      <c r="R3" s="296"/>
      <c r="S3" s="296"/>
      <c r="T3" s="296"/>
      <c r="U3" s="296"/>
      <c r="V3" s="296"/>
      <c r="W3" s="296"/>
      <c r="X3" s="296"/>
      <c r="Y3" s="296"/>
      <c r="Z3" s="296"/>
      <c r="AA3" s="296"/>
      <c r="AB3" s="296"/>
      <c r="AC3" s="296"/>
      <c r="AD3" s="296"/>
      <c r="AE3" s="296"/>
      <c r="AF3" s="296"/>
      <c r="AG3" s="296"/>
      <c r="AH3" s="296"/>
      <c r="AI3" s="296"/>
      <c r="AJ3" s="296"/>
      <c r="AK3" s="2"/>
      <c r="AL3" s="2"/>
      <c r="AM3" s="2"/>
      <c r="AN3" s="2"/>
      <c r="AO3" s="2"/>
      <c r="AP3" s="2"/>
      <c r="AQ3" s="2"/>
      <c r="AR3" s="2"/>
      <c r="AS3" s="2"/>
      <c r="AT3" s="2"/>
      <c r="AU3" s="2"/>
      <c r="AV3" s="2"/>
      <c r="AW3" s="2"/>
      <c r="AX3" s="2"/>
      <c r="AY3" s="2"/>
    </row>
    <row r="4" spans="1:77" ht="14.25" customHeight="1" x14ac:dyDescent="0.3">
      <c r="A4" s="34"/>
      <c r="B4" s="35"/>
      <c r="C4" s="34"/>
      <c r="D4" s="36"/>
      <c r="E4" s="36"/>
      <c r="F4" s="36"/>
      <c r="G4" s="36"/>
      <c r="H4" s="36"/>
      <c r="I4" s="36"/>
      <c r="J4" s="36"/>
      <c r="L4" s="36"/>
      <c r="M4" s="36" t="s">
        <v>22</v>
      </c>
      <c r="N4" s="36"/>
      <c r="O4" s="297">
        <v>10</v>
      </c>
      <c r="P4" s="297"/>
      <c r="Q4" s="36"/>
      <c r="R4" s="36"/>
      <c r="S4" s="36"/>
      <c r="T4" s="36"/>
      <c r="U4" s="36"/>
      <c r="V4" s="36"/>
      <c r="W4" s="36"/>
      <c r="X4" s="36"/>
      <c r="Y4" s="36"/>
      <c r="Z4" s="36"/>
      <c r="AA4" s="36"/>
      <c r="AB4" s="36"/>
      <c r="AC4" s="36"/>
      <c r="AD4" s="36"/>
      <c r="AE4" s="36"/>
      <c r="AF4" s="36"/>
      <c r="AG4" s="36"/>
      <c r="AH4" s="36"/>
      <c r="AI4" s="36"/>
    </row>
    <row r="5" spans="1:77" ht="14.25" customHeight="1" x14ac:dyDescent="0.3">
      <c r="M5" s="31" t="s">
        <v>23</v>
      </c>
      <c r="O5" s="298">
        <v>2026</v>
      </c>
      <c r="P5" s="298"/>
      <c r="AJ5" s="33">
        <v>26</v>
      </c>
    </row>
    <row r="6" spans="1:77" ht="17.25" customHeight="1" x14ac:dyDescent="0.3">
      <c r="A6" s="299" t="s">
        <v>1</v>
      </c>
      <c r="B6" s="300" t="s">
        <v>24</v>
      </c>
      <c r="C6" s="300" t="s">
        <v>25</v>
      </c>
      <c r="D6" s="300" t="s">
        <v>26</v>
      </c>
      <c r="E6" s="300"/>
      <c r="F6" s="300"/>
      <c r="G6" s="300"/>
      <c r="H6" s="300"/>
      <c r="I6" s="300"/>
      <c r="J6" s="300"/>
      <c r="K6" s="300"/>
      <c r="L6" s="300"/>
      <c r="M6" s="300"/>
      <c r="N6" s="300"/>
      <c r="O6" s="300"/>
      <c r="P6" s="300"/>
      <c r="Q6" s="300"/>
      <c r="R6" s="300"/>
      <c r="S6" s="300"/>
      <c r="T6" s="300"/>
      <c r="U6" s="300"/>
      <c r="V6" s="300"/>
      <c r="W6" s="300"/>
      <c r="X6" s="300"/>
      <c r="Y6" s="300"/>
      <c r="Z6" s="300"/>
      <c r="AA6" s="300"/>
      <c r="AB6" s="300"/>
      <c r="AC6" s="300"/>
      <c r="AD6" s="300"/>
      <c r="AE6" s="300"/>
      <c r="AF6" s="300"/>
      <c r="AG6" s="300"/>
      <c r="AH6" s="300"/>
      <c r="AI6" s="300"/>
      <c r="AJ6" s="301" t="s">
        <v>27</v>
      </c>
      <c r="AK6" s="302" t="s">
        <v>28</v>
      </c>
      <c r="AL6" s="302"/>
      <c r="AM6" s="302"/>
      <c r="AN6" s="302"/>
      <c r="AO6" s="302"/>
      <c r="AP6" s="302"/>
      <c r="AQ6" s="302" t="s">
        <v>29</v>
      </c>
      <c r="AR6" s="302"/>
      <c r="AS6" s="302"/>
      <c r="AT6" s="302" t="s">
        <v>30</v>
      </c>
      <c r="AU6" s="302"/>
      <c r="AV6" s="302"/>
      <c r="AW6" s="302"/>
      <c r="AX6" s="302"/>
      <c r="AY6" s="302" t="s">
        <v>31</v>
      </c>
      <c r="AZ6" s="303" t="s">
        <v>32</v>
      </c>
      <c r="BA6" s="304" t="s">
        <v>31</v>
      </c>
    </row>
    <row r="7" spans="1:77" ht="17.25" customHeight="1" x14ac:dyDescent="0.3">
      <c r="A7" s="299"/>
      <c r="B7" s="299"/>
      <c r="C7" s="299"/>
      <c r="D7" s="300" t="s">
        <v>33</v>
      </c>
      <c r="E7" s="37">
        <f>DATE(O5,O4,1)</f>
        <v>46296</v>
      </c>
      <c r="F7" s="37">
        <f t="shared" ref="F7:AF7" si="0">+E7+1</f>
        <v>46297</v>
      </c>
      <c r="G7" s="37">
        <f t="shared" si="0"/>
        <v>46298</v>
      </c>
      <c r="H7" s="37">
        <f t="shared" si="0"/>
        <v>46299</v>
      </c>
      <c r="I7" s="37">
        <f t="shared" si="0"/>
        <v>46300</v>
      </c>
      <c r="J7" s="37">
        <f t="shared" si="0"/>
        <v>46301</v>
      </c>
      <c r="K7" s="37">
        <f t="shared" si="0"/>
        <v>46302</v>
      </c>
      <c r="L7" s="37">
        <f t="shared" si="0"/>
        <v>46303</v>
      </c>
      <c r="M7" s="37">
        <f t="shared" si="0"/>
        <v>46304</v>
      </c>
      <c r="N7" s="37">
        <f t="shared" si="0"/>
        <v>46305</v>
      </c>
      <c r="O7" s="37">
        <f t="shared" si="0"/>
        <v>46306</v>
      </c>
      <c r="P7" s="37">
        <f t="shared" si="0"/>
        <v>46307</v>
      </c>
      <c r="Q7" s="38">
        <f t="shared" si="0"/>
        <v>46308</v>
      </c>
      <c r="R7" s="37">
        <f t="shared" si="0"/>
        <v>46309</v>
      </c>
      <c r="S7" s="37">
        <f t="shared" si="0"/>
        <v>46310</v>
      </c>
      <c r="T7" s="37">
        <f t="shared" si="0"/>
        <v>46311</v>
      </c>
      <c r="U7" s="37">
        <f t="shared" si="0"/>
        <v>46312</v>
      </c>
      <c r="V7" s="37">
        <f t="shared" si="0"/>
        <v>46313</v>
      </c>
      <c r="W7" s="37">
        <f t="shared" si="0"/>
        <v>46314</v>
      </c>
      <c r="X7" s="37">
        <f t="shared" si="0"/>
        <v>46315</v>
      </c>
      <c r="Y7" s="37">
        <f t="shared" si="0"/>
        <v>46316</v>
      </c>
      <c r="Z7" s="37">
        <f t="shared" si="0"/>
        <v>46317</v>
      </c>
      <c r="AA7" s="37">
        <f t="shared" si="0"/>
        <v>46318</v>
      </c>
      <c r="AB7" s="37">
        <f t="shared" si="0"/>
        <v>46319</v>
      </c>
      <c r="AC7" s="37">
        <f t="shared" si="0"/>
        <v>46320</v>
      </c>
      <c r="AD7" s="37">
        <f t="shared" si="0"/>
        <v>46321</v>
      </c>
      <c r="AE7" s="37">
        <f t="shared" si="0"/>
        <v>46322</v>
      </c>
      <c r="AF7" s="37">
        <f t="shared" si="0"/>
        <v>46323</v>
      </c>
      <c r="AG7" s="37">
        <f>IF(AF7="","",IF(MONTH(AF7+1)=MONTH($E$7),AF7+1,""))</f>
        <v>46324</v>
      </c>
      <c r="AH7" s="37">
        <f>IF(AG7="","",IF(MONTH(AG7+1)=MONTH($E$7),AG7+1,""))</f>
        <v>46325</v>
      </c>
      <c r="AI7" s="37">
        <f>IF(AH7="","",IF(MONTH(AH7+1)=MONTH($E$7),AH7+1,""))</f>
        <v>46326</v>
      </c>
      <c r="AJ7" s="301"/>
      <c r="AK7" s="301" t="s">
        <v>34</v>
      </c>
      <c r="AL7" s="301" t="s">
        <v>35</v>
      </c>
      <c r="AM7" s="301" t="s">
        <v>36</v>
      </c>
      <c r="AN7" s="301" t="s">
        <v>37</v>
      </c>
      <c r="AO7" s="301" t="s">
        <v>38</v>
      </c>
      <c r="AP7" s="301" t="s">
        <v>39</v>
      </c>
      <c r="AQ7" s="301" t="s">
        <v>40</v>
      </c>
      <c r="AR7" s="301" t="s">
        <v>41</v>
      </c>
      <c r="AS7" s="301" t="s">
        <v>42</v>
      </c>
      <c r="AT7" s="301" t="s">
        <v>43</v>
      </c>
      <c r="AU7" s="301" t="s">
        <v>44</v>
      </c>
      <c r="AV7" s="301" t="s">
        <v>45</v>
      </c>
      <c r="AW7" s="301" t="s">
        <v>46</v>
      </c>
      <c r="AX7" s="301" t="s">
        <v>47</v>
      </c>
      <c r="AY7" s="302"/>
      <c r="AZ7" s="303"/>
      <c r="BA7" s="304"/>
    </row>
    <row r="8" spans="1:77" ht="17.25" customHeight="1" x14ac:dyDescent="0.3">
      <c r="A8" s="299"/>
      <c r="B8" s="299"/>
      <c r="C8" s="299"/>
      <c r="D8" s="299"/>
      <c r="E8" s="39" t="str">
        <f t="shared" ref="E8:AF8" si="1">IF(WEEKDAY(E7)=1,"CN","T"&amp;WEEKDAY(E7))</f>
        <v>T5</v>
      </c>
      <c r="F8" s="39" t="str">
        <f t="shared" si="1"/>
        <v>T6</v>
      </c>
      <c r="G8" s="39" t="str">
        <f t="shared" si="1"/>
        <v>T7</v>
      </c>
      <c r="H8" s="39" t="str">
        <f t="shared" si="1"/>
        <v>CN</v>
      </c>
      <c r="I8" s="39" t="str">
        <f t="shared" si="1"/>
        <v>T2</v>
      </c>
      <c r="J8" s="39" t="str">
        <f t="shared" si="1"/>
        <v>T3</v>
      </c>
      <c r="K8" s="40" t="str">
        <f t="shared" si="1"/>
        <v>T4</v>
      </c>
      <c r="L8" s="39" t="str">
        <f t="shared" si="1"/>
        <v>T5</v>
      </c>
      <c r="M8" s="39" t="str">
        <f t="shared" si="1"/>
        <v>T6</v>
      </c>
      <c r="N8" s="39" t="str">
        <f t="shared" si="1"/>
        <v>T7</v>
      </c>
      <c r="O8" s="39" t="str">
        <f t="shared" si="1"/>
        <v>CN</v>
      </c>
      <c r="P8" s="41" t="str">
        <f t="shared" si="1"/>
        <v>T2</v>
      </c>
      <c r="Q8" s="42" t="str">
        <f t="shared" si="1"/>
        <v>T3</v>
      </c>
      <c r="R8" s="39" t="str">
        <f t="shared" si="1"/>
        <v>T4</v>
      </c>
      <c r="S8" s="39" t="str">
        <f t="shared" si="1"/>
        <v>T5</v>
      </c>
      <c r="T8" s="39" t="str">
        <f t="shared" si="1"/>
        <v>T6</v>
      </c>
      <c r="U8" s="39" t="str">
        <f t="shared" si="1"/>
        <v>T7</v>
      </c>
      <c r="V8" s="39" t="str">
        <f t="shared" si="1"/>
        <v>CN</v>
      </c>
      <c r="W8" s="39" t="str">
        <f t="shared" si="1"/>
        <v>T2</v>
      </c>
      <c r="X8" s="39" t="str">
        <f t="shared" si="1"/>
        <v>T3</v>
      </c>
      <c r="Y8" s="39" t="str">
        <f t="shared" si="1"/>
        <v>T4</v>
      </c>
      <c r="Z8" s="39" t="str">
        <f t="shared" si="1"/>
        <v>T5</v>
      </c>
      <c r="AA8" s="39" t="str">
        <f t="shared" si="1"/>
        <v>T6</v>
      </c>
      <c r="AB8" s="39" t="str">
        <f t="shared" si="1"/>
        <v>T7</v>
      </c>
      <c r="AC8" s="39" t="str">
        <f t="shared" si="1"/>
        <v>CN</v>
      </c>
      <c r="AD8" s="39" t="str">
        <f t="shared" si="1"/>
        <v>T2</v>
      </c>
      <c r="AE8" s="39" t="str">
        <f t="shared" si="1"/>
        <v>T3</v>
      </c>
      <c r="AF8" s="39" t="str">
        <f t="shared" si="1"/>
        <v>T4</v>
      </c>
      <c r="AG8" s="39" t="str">
        <f>IF(AG7="","",IF(WEEKDAY(AG7)=1,"CN","T"&amp;WEEKDAY(AG7)))</f>
        <v>T5</v>
      </c>
      <c r="AH8" s="39" t="str">
        <f>IF(AH7="","",IF(WEEKDAY(AH7)=1,"CN","T"&amp;WEEKDAY(AH7)))</f>
        <v>T6</v>
      </c>
      <c r="AI8" s="39" t="str">
        <f>IF(AI7="","",IF(WEEKDAY(AI7)=1,"CN","T"&amp;WEEKDAY(AI7)))</f>
        <v>T7</v>
      </c>
      <c r="AJ8" s="301"/>
      <c r="AK8" s="301"/>
      <c r="AL8" s="301"/>
      <c r="AM8" s="301"/>
      <c r="AN8" s="301"/>
      <c r="AO8" s="301"/>
      <c r="AP8" s="301"/>
      <c r="AQ8" s="301"/>
      <c r="AR8" s="301"/>
      <c r="AS8" s="301"/>
      <c r="AT8" s="301"/>
      <c r="AU8" s="301"/>
      <c r="AV8" s="301"/>
      <c r="AW8" s="301"/>
      <c r="AX8" s="301"/>
      <c r="AY8" s="301"/>
      <c r="AZ8" s="303"/>
      <c r="BA8" s="304"/>
    </row>
    <row r="9" spans="1:77" ht="17.25" customHeight="1" x14ac:dyDescent="0.3">
      <c r="A9" s="43">
        <f>IF(B9="","",COUNTIF($D$9:D9,"HC"))</f>
        <v>1</v>
      </c>
      <c r="B9" s="44" t="str">
        <f>IF('Mức lương'!B8="","",'Mức lương'!B8)</f>
        <v>NGUYỄN KIM QUYẾT</v>
      </c>
      <c r="C9" s="45" t="str">
        <f>IF(B9="","",IFERROR(IF(INDEX('Mức lương'!$C$8:$C$62,MATCH($B9,'Mức lương'!$B$8:$B$62,0))="","",INDEX('Mức lương'!$C$8:$C$62,MATCH($B9,'Mức lương'!$B$8:$B$62,0))),""))</f>
        <v>Giám Đốc</v>
      </c>
      <c r="D9" s="46" t="s">
        <v>48</v>
      </c>
      <c r="E9" s="47" t="s">
        <v>50</v>
      </c>
      <c r="F9" s="47" t="s">
        <v>50</v>
      </c>
      <c r="G9" s="47" t="s">
        <v>50</v>
      </c>
      <c r="H9" s="47" t="s">
        <v>50</v>
      </c>
      <c r="I9" s="47"/>
      <c r="J9" s="47" t="s">
        <v>50</v>
      </c>
      <c r="K9" s="47" t="s">
        <v>50</v>
      </c>
      <c r="L9" s="47" t="s">
        <v>50</v>
      </c>
      <c r="M9" s="47" t="s">
        <v>50</v>
      </c>
      <c r="N9" s="47" t="s">
        <v>50</v>
      </c>
      <c r="O9" s="47" t="s">
        <v>50</v>
      </c>
      <c r="P9" s="47"/>
      <c r="Q9" s="47" t="s">
        <v>50</v>
      </c>
      <c r="R9" s="47" t="s">
        <v>50</v>
      </c>
      <c r="S9" s="47" t="s">
        <v>50</v>
      </c>
      <c r="T9" s="47" t="s">
        <v>50</v>
      </c>
      <c r="U9" s="47" t="s">
        <v>50</v>
      </c>
      <c r="V9" s="47" t="s">
        <v>50</v>
      </c>
      <c r="W9" s="47"/>
      <c r="X9" s="47" t="s">
        <v>50</v>
      </c>
      <c r="Y9" s="47" t="s">
        <v>50</v>
      </c>
      <c r="Z9" s="47" t="s">
        <v>50</v>
      </c>
      <c r="AA9" s="47" t="s">
        <v>50</v>
      </c>
      <c r="AB9" s="47" t="s">
        <v>50</v>
      </c>
      <c r="AC9" s="47" t="s">
        <v>50</v>
      </c>
      <c r="AD9" s="47"/>
      <c r="AE9" s="47" t="s">
        <v>50</v>
      </c>
      <c r="AF9" s="47" t="s">
        <v>50</v>
      </c>
      <c r="AG9" s="47" t="s">
        <v>50</v>
      </c>
      <c r="AH9" s="47" t="s">
        <v>50</v>
      </c>
      <c r="AI9" s="47" t="s">
        <v>50</v>
      </c>
      <c r="AJ9" s="48">
        <f>COUNTIF(E9:AI9,"X")+COUNTIF(E9:AI9,"NL")+COUNTIF(E9:AI9,"x/2")/2+COUNTIF(E9:AI9,"NL/2")/2+COUNTIF(E9:AI9,"P")+COUNTIF(E9:AI9,"P/2")/2</f>
        <v>27</v>
      </c>
      <c r="AK9" s="305">
        <f>COUNTIF(E9:AI9,"P")+COUNTIF(E9:AI9,"P/2")*0.5</f>
        <v>0</v>
      </c>
      <c r="AL9" s="305">
        <f>COUNTIF(E9:AI9,"L")</f>
        <v>0</v>
      </c>
      <c r="AM9" s="305">
        <f>COUNTIF(E9:AI9,"H")</f>
        <v>0</v>
      </c>
      <c r="AN9" s="305">
        <f>COUNTIF(E9:AI9,"NB")</f>
        <v>0</v>
      </c>
      <c r="AO9" s="305">
        <f>COUNTIF(E9:AI9,"T")</f>
        <v>0</v>
      </c>
      <c r="AP9" s="305">
        <f>COUNTIF(E9:AI9,"TN")</f>
        <v>0</v>
      </c>
      <c r="AQ9" s="305">
        <f>SUM(E10:AI10)-AR9-AS9</f>
        <v>0</v>
      </c>
      <c r="AR9" s="305">
        <f>SUMPRODUCT(($E$8:$AI$8="CN")*($E9:$AI9&lt;&gt;"L"),$E10:$AI10)</f>
        <v>0</v>
      </c>
      <c r="AS9" s="305">
        <f>SUMPRODUCT(--($E9:$AI9="L"),$E10:$AI10)</f>
        <v>0</v>
      </c>
      <c r="AT9" s="305">
        <f>COUNTIF(E9:AI9,"KL")</f>
        <v>0</v>
      </c>
      <c r="AU9" s="305">
        <f>COUNTIF(E9:AI9,"OM")</f>
        <v>0</v>
      </c>
      <c r="AV9" s="305">
        <f>COUNTIF(E9:AI9,"CO")</f>
        <v>0</v>
      </c>
      <c r="AW9" s="305">
        <f>COUNTIF(E9:AI9,"TS")</f>
        <v>0</v>
      </c>
      <c r="AX9" s="305">
        <f>COUNTIF(E9:AI9,"LD")</f>
        <v>0</v>
      </c>
      <c r="AY9" s="306"/>
      <c r="AZ9" s="49" t="str">
        <f>IF(SUM(AQ9:AS9)&gt;40,"Vượt trần!","Đạt")</f>
        <v>Đạt</v>
      </c>
      <c r="BA9" s="50"/>
    </row>
    <row r="10" spans="1:77" ht="17.25" customHeight="1" x14ac:dyDescent="0.3">
      <c r="A10" s="43"/>
      <c r="B10" s="51"/>
      <c r="C10" s="45"/>
      <c r="D10" s="46" t="s">
        <v>49</v>
      </c>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8"/>
      <c r="AK10" s="305"/>
      <c r="AL10" s="305"/>
      <c r="AM10" s="305"/>
      <c r="AN10" s="305"/>
      <c r="AO10" s="305"/>
      <c r="AP10" s="305"/>
      <c r="AQ10" s="305"/>
      <c r="AR10" s="305"/>
      <c r="AS10" s="305"/>
      <c r="AT10" s="305"/>
      <c r="AU10" s="305"/>
      <c r="AV10" s="305"/>
      <c r="AW10" s="305"/>
      <c r="AX10" s="305"/>
      <c r="AY10" s="305"/>
      <c r="AZ10" s="82"/>
      <c r="BA10" s="50"/>
    </row>
    <row r="11" spans="1:77" ht="17.25" customHeight="1" x14ac:dyDescent="0.3">
      <c r="A11" s="53" t="str">
        <f>IF('Mức lương'!A9="","",'Mức lương'!A9)</f>
        <v>I</v>
      </c>
      <c r="B11" s="59" t="str">
        <f>IF('Mức lương'!B9="","",'Mức lương'!B9)</f>
        <v>BỘ PHẬN LÁI XE</v>
      </c>
      <c r="C11" s="54"/>
      <c r="D11" s="55"/>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7"/>
      <c r="AK11" s="57"/>
      <c r="AL11" s="57"/>
      <c r="AM11" s="57"/>
      <c r="AN11" s="57"/>
      <c r="AO11" s="57"/>
      <c r="AP11" s="57"/>
      <c r="AQ11" s="57"/>
      <c r="AR11" s="57"/>
      <c r="AS11" s="57"/>
      <c r="AT11" s="57"/>
      <c r="AU11" s="57"/>
      <c r="AV11" s="57"/>
      <c r="AW11" s="57"/>
      <c r="AX11" s="57"/>
      <c r="AY11" s="57"/>
      <c r="AZ11" s="60"/>
      <c r="BA11" s="58"/>
    </row>
    <row r="12" spans="1:77" ht="17.25" customHeight="1" x14ac:dyDescent="0.3">
      <c r="A12" s="43">
        <f>IF(B12="","",COUNTIF($D$9:D12,"HC"))</f>
        <v>2</v>
      </c>
      <c r="B12" s="44" t="str">
        <f>IF('Mức lương'!B10="","",'Mức lương'!B10)</f>
        <v>NGUYỄN VĂN LỢI</v>
      </c>
      <c r="C12" s="45" t="str">
        <f>IF(B12="","",IFERROR(IF(INDEX('Mức lương'!$C$8:$C$62,MATCH($B12,'Mức lương'!$B$8:$B$62,0))="","",INDEX('Mức lương'!$C$8:$C$62,MATCH($B12,'Mức lương'!$B$8:$B$62,0))),""))</f>
        <v>Tài xế xe tải</v>
      </c>
      <c r="D12" s="46" t="s">
        <v>48</v>
      </c>
      <c r="E12" s="47" t="s">
        <v>50</v>
      </c>
      <c r="F12" s="47" t="s">
        <v>50</v>
      </c>
      <c r="G12" s="47" t="s">
        <v>50</v>
      </c>
      <c r="H12" s="47" t="s">
        <v>50</v>
      </c>
      <c r="I12" s="47"/>
      <c r="J12" s="47" t="s">
        <v>50</v>
      </c>
      <c r="K12" s="47" t="s">
        <v>50</v>
      </c>
      <c r="L12" s="47" t="s">
        <v>50</v>
      </c>
      <c r="M12" s="47" t="s">
        <v>50</v>
      </c>
      <c r="N12" s="47" t="s">
        <v>50</v>
      </c>
      <c r="O12" s="47" t="s">
        <v>50</v>
      </c>
      <c r="P12" s="47"/>
      <c r="Q12" s="47" t="s">
        <v>50</v>
      </c>
      <c r="R12" s="47" t="s">
        <v>50</v>
      </c>
      <c r="S12" s="47" t="s">
        <v>50</v>
      </c>
      <c r="T12" s="47" t="s">
        <v>50</v>
      </c>
      <c r="U12" s="47" t="s">
        <v>50</v>
      </c>
      <c r="V12" s="47" t="s">
        <v>50</v>
      </c>
      <c r="W12" s="47"/>
      <c r="X12" s="47" t="s">
        <v>50</v>
      </c>
      <c r="Y12" s="47" t="s">
        <v>51</v>
      </c>
      <c r="Z12" s="47" t="s">
        <v>51</v>
      </c>
      <c r="AA12" s="47" t="s">
        <v>51</v>
      </c>
      <c r="AB12" s="47" t="s">
        <v>51</v>
      </c>
      <c r="AC12" s="47" t="s">
        <v>51</v>
      </c>
      <c r="AD12" s="47"/>
      <c r="AE12" s="47" t="s">
        <v>51</v>
      </c>
      <c r="AF12" s="47" t="s">
        <v>51</v>
      </c>
      <c r="AG12" s="47" t="s">
        <v>51</v>
      </c>
      <c r="AH12" s="47" t="s">
        <v>51</v>
      </c>
      <c r="AI12" s="47" t="s">
        <v>51</v>
      </c>
      <c r="AJ12" s="48">
        <f>COUNTIF(E12:AI12,"X")+COUNTIF(E12:AI12,"NL")+COUNTIF(E12:AI12,"x/2")/2+COUNTIF(E12:AI12,"NL/2")/2+COUNTIF(E12:AI12,"P")+COUNTIF(E12:AI12,"P/2")/2</f>
        <v>17</v>
      </c>
      <c r="AK12" s="305">
        <f>COUNTIF(E12:AI12,"P")+COUNTIF(E12:AI12,"P/2")*0.5</f>
        <v>0</v>
      </c>
      <c r="AL12" s="305">
        <f>COUNTIF(E12:AI12,"L")</f>
        <v>0</v>
      </c>
      <c r="AM12" s="305">
        <f>COUNTIF(E12:AI12,"H")</f>
        <v>0</v>
      </c>
      <c r="AN12" s="305">
        <f>COUNTIF(E12:AI12,"NB")</f>
        <v>0</v>
      </c>
      <c r="AO12" s="305">
        <f>COUNTIF(E12:AI12,"T")</f>
        <v>0</v>
      </c>
      <c r="AP12" s="305">
        <f>COUNTIF(E12:AI12,"TN")</f>
        <v>0</v>
      </c>
      <c r="AQ12" s="305">
        <f>SUM(E13:AI13)-AR12-AS12</f>
        <v>0</v>
      </c>
      <c r="AR12" s="305">
        <f>SUMPRODUCT(($E$8:$AI$8="CN")*($E12:$AI12&lt;&gt;"L"),$E13:$AI13)</f>
        <v>0</v>
      </c>
      <c r="AS12" s="305">
        <f>SUMPRODUCT(--($E12:$AI12="L"),$E13:$AI13)</f>
        <v>0</v>
      </c>
      <c r="AT12" s="305">
        <f>COUNTIF(E12:AI12,"KL")</f>
        <v>0</v>
      </c>
      <c r="AU12" s="305">
        <f>COUNTIF(E12:AI12,"OM")</f>
        <v>0</v>
      </c>
      <c r="AV12" s="305">
        <f>COUNTIF(E12:AI12,"CO")</f>
        <v>0</v>
      </c>
      <c r="AW12" s="305">
        <f>COUNTIF(E12:AI12,"TS")</f>
        <v>0</v>
      </c>
      <c r="AX12" s="305">
        <f>COUNTIF(E12:AI12,"LD")</f>
        <v>0</v>
      </c>
      <c r="AY12" s="306"/>
      <c r="AZ12" s="49" t="str">
        <f>IF(SUM(AQ12:AS12)&gt;40,"Vượt trần!","Đạt")</f>
        <v>Đạt</v>
      </c>
      <c r="BA12" s="50"/>
    </row>
    <row r="13" spans="1:77" ht="17.25" customHeight="1" x14ac:dyDescent="0.3">
      <c r="A13" s="43"/>
      <c r="B13" s="44"/>
      <c r="C13" s="45"/>
      <c r="D13" s="46" t="s">
        <v>49</v>
      </c>
      <c r="E13" s="47"/>
      <c r="F13" s="47"/>
      <c r="G13" s="47"/>
      <c r="H13" s="47"/>
      <c r="I13" s="47"/>
      <c r="J13" s="47"/>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8"/>
      <c r="AK13" s="305"/>
      <c r="AL13" s="305"/>
      <c r="AM13" s="305"/>
      <c r="AN13" s="305"/>
      <c r="AO13" s="305"/>
      <c r="AP13" s="305"/>
      <c r="AQ13" s="305"/>
      <c r="AR13" s="305"/>
      <c r="AS13" s="305"/>
      <c r="AT13" s="305"/>
      <c r="AU13" s="305"/>
      <c r="AV13" s="305"/>
      <c r="AW13" s="305"/>
      <c r="AX13" s="305"/>
      <c r="AY13" s="305"/>
      <c r="AZ13" s="49"/>
      <c r="BA13" s="50"/>
    </row>
    <row r="14" spans="1:77" ht="14.25" customHeight="1" x14ac:dyDescent="0.3">
      <c r="B14" s="62"/>
      <c r="C14" s="62"/>
      <c r="D14" s="63"/>
      <c r="E14" s="63"/>
      <c r="F14" s="63"/>
      <c r="G14" s="63"/>
      <c r="H14" s="63"/>
      <c r="I14" s="63"/>
      <c r="J14" s="63"/>
      <c r="K14" s="63"/>
      <c r="L14" s="63"/>
      <c r="M14" s="63"/>
      <c r="N14" s="63"/>
      <c r="O14" s="63"/>
      <c r="P14" s="63"/>
      <c r="Q14" s="63"/>
      <c r="R14" s="63"/>
      <c r="S14" s="63"/>
      <c r="T14" s="63"/>
      <c r="U14" s="63"/>
      <c r="V14" s="63"/>
      <c r="W14" s="63"/>
      <c r="X14" s="63"/>
    </row>
    <row r="15" spans="1:77" ht="14.25" customHeight="1" x14ac:dyDescent="0.3">
      <c r="B15" s="64"/>
      <c r="C15" s="64"/>
      <c r="D15" s="52"/>
      <c r="E15" s="52"/>
      <c r="F15" s="52"/>
      <c r="G15" s="65"/>
      <c r="H15" s="65"/>
      <c r="I15" s="65"/>
      <c r="J15" s="65"/>
      <c r="K15" s="65"/>
      <c r="L15" s="65"/>
      <c r="M15" s="65"/>
      <c r="N15" s="65"/>
      <c r="O15" s="65"/>
      <c r="P15" s="65"/>
      <c r="Q15" s="65"/>
      <c r="R15" s="65"/>
      <c r="S15" s="65"/>
      <c r="T15" s="65"/>
      <c r="U15" s="65"/>
      <c r="V15" s="65"/>
      <c r="W15" s="65"/>
      <c r="X15" s="65"/>
    </row>
    <row r="16" spans="1:77" ht="14.25" customHeight="1" x14ac:dyDescent="0.3">
      <c r="B16" s="66" t="s">
        <v>52</v>
      </c>
      <c r="C16" s="67"/>
      <c r="D16" s="67"/>
      <c r="E16" s="67"/>
      <c r="F16" s="67"/>
      <c r="G16" s="67"/>
      <c r="H16" s="67"/>
      <c r="I16" s="67"/>
      <c r="J16" s="67"/>
      <c r="K16" s="67"/>
      <c r="L16" s="67"/>
      <c r="M16" s="67"/>
      <c r="N16" s="67"/>
      <c r="O16" s="67"/>
      <c r="P16" s="67"/>
      <c r="Q16" s="67"/>
      <c r="R16" s="67"/>
      <c r="S16" s="67"/>
      <c r="T16" s="67"/>
      <c r="U16" s="67"/>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67"/>
      <c r="AX16" s="67"/>
      <c r="AY16" s="67"/>
      <c r="BO16" s="67"/>
      <c r="BP16" s="67"/>
      <c r="BQ16" s="67"/>
      <c r="BR16" s="67"/>
      <c r="BS16" s="67"/>
      <c r="BT16" s="67"/>
      <c r="BU16" s="67"/>
      <c r="BV16" s="67"/>
      <c r="BW16" s="67"/>
      <c r="BX16" s="67"/>
      <c r="BY16" s="67"/>
    </row>
    <row r="17" spans="2:77" ht="14.25" customHeight="1" x14ac:dyDescent="0.25">
      <c r="B17" s="68" t="s">
        <v>53</v>
      </c>
      <c r="C17" s="67"/>
      <c r="D17" s="67"/>
      <c r="E17" s="67"/>
      <c r="F17" s="67"/>
      <c r="G17" s="67"/>
      <c r="H17" s="67"/>
      <c r="I17" s="67"/>
      <c r="J17" s="67"/>
      <c r="K17" s="67"/>
      <c r="L17" s="67"/>
      <c r="M17" s="67"/>
      <c r="N17" s="67"/>
      <c r="O17" s="67"/>
      <c r="P17" s="67"/>
      <c r="Q17" s="67"/>
      <c r="R17" s="67"/>
      <c r="S17" s="68" t="s">
        <v>54</v>
      </c>
      <c r="T17" s="67"/>
      <c r="U17" s="67"/>
      <c r="V17" s="67"/>
      <c r="W17" s="67"/>
      <c r="X17" s="67"/>
      <c r="Y17" s="67"/>
      <c r="Z17" s="67"/>
      <c r="AA17" s="67"/>
      <c r="AB17" s="67"/>
      <c r="AC17" s="67"/>
      <c r="AD17" s="67"/>
      <c r="AE17" s="67"/>
      <c r="AF17" s="68" t="s">
        <v>55</v>
      </c>
      <c r="AG17" s="67"/>
      <c r="AH17" s="67"/>
      <c r="AI17" s="67"/>
      <c r="AJ17" s="67"/>
      <c r="AK17" s="67"/>
      <c r="AL17" s="67"/>
      <c r="AM17" s="67"/>
      <c r="AN17" s="67"/>
      <c r="AO17" s="67"/>
      <c r="AP17" s="67"/>
      <c r="AQ17" s="67"/>
      <c r="AR17" s="67"/>
      <c r="AS17" s="67"/>
      <c r="AT17" s="68" t="s">
        <v>56</v>
      </c>
      <c r="AU17" s="67"/>
      <c r="AV17" s="67"/>
      <c r="AW17" s="67"/>
      <c r="AX17" s="67"/>
      <c r="AY17" s="67"/>
      <c r="BO17" s="67"/>
      <c r="BP17" s="67"/>
      <c r="BQ17" s="67"/>
      <c r="BR17" s="67"/>
      <c r="BS17" s="67"/>
      <c r="BT17" s="68" t="s">
        <v>56</v>
      </c>
      <c r="BU17" s="67"/>
      <c r="BV17" s="67"/>
      <c r="BW17" s="67"/>
      <c r="BX17" s="67"/>
      <c r="BY17" s="67"/>
    </row>
    <row r="18" spans="2:77" ht="15" customHeight="1" x14ac:dyDescent="0.25">
      <c r="B18" s="67" t="s">
        <v>57</v>
      </c>
      <c r="C18" s="67" t="s">
        <v>58</v>
      </c>
      <c r="D18" s="67"/>
      <c r="E18" s="67"/>
      <c r="F18" s="67"/>
      <c r="G18" s="67"/>
      <c r="H18" s="67"/>
      <c r="I18" s="67"/>
      <c r="J18" s="67"/>
      <c r="K18" s="67"/>
      <c r="L18" s="67"/>
      <c r="M18" s="67"/>
      <c r="N18" s="67"/>
      <c r="O18" s="67"/>
      <c r="P18" s="67"/>
      <c r="Q18" s="67"/>
      <c r="R18" s="67"/>
      <c r="S18" s="67" t="s">
        <v>59</v>
      </c>
      <c r="T18" s="67" t="s">
        <v>60</v>
      </c>
      <c r="U18" s="67"/>
      <c r="V18" s="67"/>
      <c r="W18" s="67"/>
      <c r="X18" s="67"/>
      <c r="Y18" s="67"/>
      <c r="Z18" s="67"/>
      <c r="AA18" s="67"/>
      <c r="AB18" s="67"/>
      <c r="AC18" s="67"/>
      <c r="AD18" s="67"/>
      <c r="AE18" s="67"/>
      <c r="AF18" s="67" t="s">
        <v>61</v>
      </c>
      <c r="AG18" s="67" t="s">
        <v>62</v>
      </c>
      <c r="AH18" s="67"/>
      <c r="AI18" s="67"/>
      <c r="AJ18" s="67"/>
      <c r="AK18" s="67"/>
      <c r="AL18" s="67"/>
      <c r="AM18" s="67"/>
      <c r="AN18" s="67"/>
      <c r="AO18" s="67"/>
      <c r="AP18" s="67"/>
      <c r="AQ18" s="67"/>
      <c r="AR18" s="67"/>
      <c r="AS18" s="67"/>
      <c r="AT18" s="67" t="s">
        <v>63</v>
      </c>
      <c r="AU18" s="67"/>
      <c r="AV18" s="67"/>
      <c r="AW18" s="67"/>
      <c r="AX18" s="67"/>
      <c r="AY18" s="67"/>
      <c r="BO18" s="67"/>
      <c r="BP18" s="67"/>
      <c r="BQ18" s="67"/>
      <c r="BR18" s="67"/>
      <c r="BS18" s="67"/>
      <c r="BT18" s="67" t="s">
        <v>63</v>
      </c>
      <c r="BU18" s="67"/>
      <c r="BV18" s="67"/>
      <c r="BW18" s="67"/>
      <c r="BX18" s="67"/>
      <c r="BY18" s="67"/>
    </row>
    <row r="19" spans="2:77" ht="14.25" customHeight="1" x14ac:dyDescent="0.25">
      <c r="B19" s="67" t="s">
        <v>64</v>
      </c>
      <c r="C19" s="67" t="s">
        <v>65</v>
      </c>
      <c r="D19" s="67"/>
      <c r="E19" s="67"/>
      <c r="F19" s="67"/>
      <c r="G19" s="67"/>
      <c r="H19" s="67"/>
      <c r="I19" s="67"/>
      <c r="J19" s="67"/>
      <c r="K19" s="67"/>
      <c r="L19" s="67"/>
      <c r="M19" s="67"/>
      <c r="N19" s="67"/>
      <c r="O19" s="67"/>
      <c r="P19" s="67"/>
      <c r="Q19" s="67"/>
      <c r="R19" s="67"/>
      <c r="S19" s="67" t="s">
        <v>66</v>
      </c>
      <c r="T19" s="67" t="s">
        <v>67</v>
      </c>
      <c r="U19" s="67"/>
      <c r="V19" s="67"/>
      <c r="W19" s="67"/>
      <c r="X19" s="67"/>
      <c r="Y19" s="67"/>
      <c r="Z19" s="67"/>
      <c r="AA19" s="67"/>
      <c r="AB19" s="67"/>
      <c r="AC19" s="67"/>
      <c r="AD19" s="67"/>
      <c r="AE19" s="67"/>
      <c r="AF19" s="67" t="s">
        <v>68</v>
      </c>
      <c r="AG19" s="67" t="s">
        <v>69</v>
      </c>
      <c r="AH19" s="67"/>
      <c r="AI19" s="67"/>
      <c r="AJ19" s="67"/>
      <c r="AK19" s="67"/>
      <c r="AL19" s="67"/>
      <c r="AM19" s="67"/>
      <c r="AN19" s="67"/>
      <c r="AO19" s="67"/>
      <c r="AP19" s="67"/>
      <c r="AQ19" s="67"/>
      <c r="AR19" s="67"/>
      <c r="AS19" s="67"/>
      <c r="AT19" s="67" t="s">
        <v>70</v>
      </c>
      <c r="AU19" s="67"/>
      <c r="AV19" s="67"/>
      <c r="AW19" s="67"/>
      <c r="AX19" s="67"/>
      <c r="AY19" s="67"/>
      <c r="BO19" s="67"/>
      <c r="BP19" s="67"/>
      <c r="BQ19" s="67"/>
      <c r="BR19" s="67"/>
      <c r="BS19" s="67"/>
      <c r="BT19" s="67" t="s">
        <v>70</v>
      </c>
      <c r="BU19" s="67"/>
      <c r="BV19" s="67"/>
      <c r="BW19" s="67"/>
      <c r="BX19" s="67"/>
      <c r="BY19" s="67"/>
    </row>
    <row r="20" spans="2:77" ht="14.25" customHeight="1" x14ac:dyDescent="0.25">
      <c r="B20" s="67"/>
      <c r="C20" s="67"/>
      <c r="D20" s="67"/>
      <c r="E20" s="67"/>
      <c r="F20" s="67"/>
      <c r="G20" s="67"/>
      <c r="H20" s="67"/>
      <c r="I20" s="67"/>
      <c r="J20" s="67"/>
      <c r="K20" s="67"/>
      <c r="L20" s="67"/>
      <c r="M20" s="67"/>
      <c r="N20" s="67"/>
      <c r="O20" s="67"/>
      <c r="P20" s="67"/>
      <c r="Q20" s="67"/>
      <c r="R20" s="67"/>
      <c r="S20" s="67" t="s">
        <v>71</v>
      </c>
      <c r="T20" s="67" t="s">
        <v>72</v>
      </c>
      <c r="U20" s="67"/>
      <c r="V20" s="67"/>
      <c r="W20" s="67"/>
      <c r="X20" s="67"/>
      <c r="Y20" s="67"/>
      <c r="Z20" s="67"/>
      <c r="AA20" s="67"/>
      <c r="AB20" s="67"/>
      <c r="AC20" s="67"/>
      <c r="AD20" s="67"/>
      <c r="AE20" s="67"/>
      <c r="AF20" s="67" t="s">
        <v>73</v>
      </c>
      <c r="AG20" s="67" t="s">
        <v>74</v>
      </c>
      <c r="AH20" s="67"/>
      <c r="AI20" s="67"/>
      <c r="AJ20" s="67"/>
      <c r="AK20" s="67"/>
      <c r="AL20" s="67"/>
      <c r="AM20" s="67"/>
      <c r="AN20" s="67"/>
      <c r="AO20" s="67"/>
      <c r="AP20" s="67"/>
      <c r="AQ20" s="67"/>
      <c r="AR20" s="67"/>
      <c r="AS20" s="67"/>
      <c r="AT20" s="67" t="s">
        <v>75</v>
      </c>
      <c r="AU20" s="67"/>
      <c r="AV20" s="67"/>
      <c r="AW20" s="67"/>
      <c r="AX20" s="67"/>
      <c r="AY20" s="67"/>
      <c r="BO20" s="67"/>
      <c r="BP20" s="67"/>
      <c r="BQ20" s="67"/>
      <c r="BR20" s="67"/>
      <c r="BS20" s="67"/>
      <c r="BT20" s="67" t="s">
        <v>75</v>
      </c>
      <c r="BU20" s="67"/>
      <c r="BV20" s="67"/>
      <c r="BW20" s="67"/>
      <c r="BX20" s="67"/>
      <c r="BY20" s="67"/>
    </row>
    <row r="21" spans="2:77" ht="21" customHeight="1" x14ac:dyDescent="0.25">
      <c r="B21" s="67"/>
      <c r="C21" s="67"/>
      <c r="D21" s="67"/>
      <c r="E21" s="67"/>
      <c r="F21" s="67"/>
      <c r="G21" s="67"/>
      <c r="H21" s="67"/>
      <c r="I21" s="67"/>
      <c r="J21" s="67"/>
      <c r="K21" s="67"/>
      <c r="L21" s="67"/>
      <c r="M21" s="67"/>
      <c r="N21" s="67"/>
      <c r="O21" s="67"/>
      <c r="P21" s="67"/>
      <c r="Q21" s="67"/>
      <c r="R21" s="67"/>
      <c r="S21" s="67" t="s">
        <v>76</v>
      </c>
      <c r="T21" s="67" t="s">
        <v>77</v>
      </c>
      <c r="U21" s="67"/>
      <c r="V21" s="67"/>
      <c r="W21" s="67"/>
      <c r="X21" s="67"/>
      <c r="Y21" s="67"/>
      <c r="Z21" s="67"/>
      <c r="AA21" s="67"/>
      <c r="AB21" s="67"/>
      <c r="AC21" s="67"/>
      <c r="AD21" s="67"/>
      <c r="AE21" s="67"/>
      <c r="AF21" s="67" t="s">
        <v>78</v>
      </c>
      <c r="AG21" s="67" t="s">
        <v>79</v>
      </c>
      <c r="AH21" s="67"/>
      <c r="AI21" s="67"/>
      <c r="AJ21" s="67"/>
      <c r="AK21" s="67"/>
      <c r="AL21" s="67"/>
      <c r="AM21" s="67"/>
      <c r="AN21" s="67"/>
      <c r="AO21" s="67"/>
      <c r="AP21" s="67"/>
      <c r="AQ21" s="67"/>
      <c r="AR21" s="67"/>
      <c r="AS21" s="67"/>
      <c r="AT21" s="67" t="s">
        <v>80</v>
      </c>
      <c r="AU21" s="67"/>
      <c r="AV21" s="67"/>
      <c r="AW21" s="67"/>
      <c r="AX21" s="67"/>
      <c r="AY21" s="67"/>
      <c r="BO21" s="67"/>
      <c r="BP21" s="67"/>
      <c r="BQ21" s="67"/>
      <c r="BR21" s="67"/>
      <c r="BS21" s="67"/>
      <c r="BT21" s="67" t="s">
        <v>80</v>
      </c>
      <c r="BU21" s="67"/>
      <c r="BV21" s="67"/>
      <c r="BW21" s="67"/>
      <c r="BX21" s="67"/>
      <c r="BY21" s="67"/>
    </row>
    <row r="22" spans="2:77" ht="21" customHeight="1" x14ac:dyDescent="0.25">
      <c r="B22" s="67"/>
      <c r="C22" s="67"/>
      <c r="D22" s="67"/>
      <c r="E22" s="67"/>
      <c r="F22" s="67"/>
      <c r="G22" s="67"/>
      <c r="H22" s="67"/>
      <c r="I22" s="67"/>
      <c r="J22" s="67"/>
      <c r="K22" s="67"/>
      <c r="L22" s="67"/>
      <c r="M22" s="67"/>
      <c r="N22" s="67"/>
      <c r="O22" s="67"/>
      <c r="P22" s="67"/>
      <c r="Q22" s="67"/>
      <c r="R22" s="67"/>
      <c r="S22" s="67" t="s">
        <v>81</v>
      </c>
      <c r="T22" s="67" t="s">
        <v>82</v>
      </c>
      <c r="U22" s="67"/>
      <c r="V22" s="67"/>
      <c r="W22" s="67"/>
      <c r="X22" s="67"/>
      <c r="Y22" s="67"/>
      <c r="Z22" s="67"/>
      <c r="AA22" s="67"/>
      <c r="AB22" s="67"/>
      <c r="AC22" s="67"/>
      <c r="AD22" s="67"/>
      <c r="AE22" s="67"/>
      <c r="AF22" s="67" t="s">
        <v>83</v>
      </c>
      <c r="AG22" s="67" t="s">
        <v>84</v>
      </c>
      <c r="AH22" s="67"/>
      <c r="AI22" s="67"/>
      <c r="AJ22" s="67"/>
      <c r="AK22" s="67"/>
      <c r="AL22" s="67"/>
      <c r="AM22" s="67"/>
      <c r="AN22" s="67"/>
      <c r="AO22" s="67"/>
      <c r="AP22" s="67"/>
      <c r="AQ22" s="67"/>
      <c r="AR22" s="67"/>
      <c r="AS22" s="67"/>
      <c r="AT22" s="67" t="s">
        <v>85</v>
      </c>
      <c r="AU22" s="67"/>
      <c r="AV22" s="67"/>
      <c r="AW22" s="67"/>
      <c r="AX22" s="67"/>
      <c r="AY22" s="67"/>
      <c r="BO22" s="67"/>
      <c r="BP22" s="67"/>
      <c r="BQ22" s="67"/>
      <c r="BR22" s="67"/>
      <c r="BS22" s="67"/>
      <c r="BT22" s="67" t="s">
        <v>85</v>
      </c>
      <c r="BU22" s="67"/>
      <c r="BV22" s="67"/>
      <c r="BW22" s="67"/>
      <c r="BX22" s="67"/>
      <c r="BY22" s="67"/>
    </row>
    <row r="23" spans="2:77" ht="21" customHeight="1" x14ac:dyDescent="0.25">
      <c r="B23" s="67"/>
      <c r="C23" s="67"/>
      <c r="D23" s="67"/>
      <c r="E23" s="67"/>
      <c r="F23" s="67"/>
      <c r="G23" s="67"/>
      <c r="H23" s="67"/>
      <c r="I23" s="67"/>
      <c r="J23" s="67"/>
      <c r="K23" s="67"/>
      <c r="L23" s="67"/>
      <c r="M23" s="67"/>
      <c r="N23" s="67"/>
      <c r="O23" s="67"/>
      <c r="P23" s="67"/>
      <c r="Q23" s="67"/>
      <c r="R23" s="67"/>
      <c r="S23" s="67" t="s">
        <v>86</v>
      </c>
      <c r="T23" s="67" t="s">
        <v>87</v>
      </c>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t="s">
        <v>88</v>
      </c>
      <c r="AU23" s="67"/>
      <c r="AV23" s="67"/>
      <c r="AW23" s="67"/>
      <c r="AX23" s="67"/>
      <c r="AY23" s="67"/>
      <c r="BO23" s="67"/>
      <c r="BP23" s="67"/>
      <c r="BQ23" s="67"/>
      <c r="BR23" s="67"/>
      <c r="BS23" s="67"/>
      <c r="BT23" s="67" t="s">
        <v>88</v>
      </c>
      <c r="BU23" s="67"/>
      <c r="BV23" s="67"/>
      <c r="BW23" s="67"/>
      <c r="BX23" s="67"/>
      <c r="BY23" s="67"/>
    </row>
    <row r="24" spans="2:77" ht="21" customHeight="1" x14ac:dyDescent="0.25">
      <c r="B24" s="67"/>
      <c r="C24" s="67"/>
      <c r="D24" s="67"/>
      <c r="E24" s="67"/>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BO24" s="67"/>
      <c r="BP24" s="67"/>
      <c r="BQ24" s="67"/>
      <c r="BR24" s="67"/>
      <c r="BS24" s="67"/>
      <c r="BT24" s="67"/>
      <c r="BU24" s="67"/>
      <c r="BV24" s="67"/>
      <c r="BW24" s="67"/>
      <c r="BX24" s="67"/>
      <c r="BY24" s="67"/>
    </row>
    <row r="25" spans="2:77" ht="21" customHeight="1" x14ac:dyDescent="0.25">
      <c r="B25" s="67"/>
      <c r="C25" s="67"/>
      <c r="D25" s="69" t="s">
        <v>89</v>
      </c>
      <c r="E25" s="67"/>
      <c r="F25" s="67"/>
      <c r="G25" s="67"/>
      <c r="H25" s="67"/>
      <c r="I25" s="67"/>
      <c r="J25" s="67"/>
      <c r="K25" s="67"/>
      <c r="L25" s="67"/>
      <c r="M25" s="67"/>
      <c r="N25" s="67"/>
      <c r="O25" s="67"/>
      <c r="P25" s="67"/>
      <c r="Q25" s="67"/>
      <c r="R25" s="67"/>
      <c r="S25" s="67"/>
      <c r="T25" s="67"/>
      <c r="U25" s="67"/>
      <c r="V25" s="67"/>
      <c r="W25" s="67"/>
      <c r="X25" s="67"/>
      <c r="Y25" s="67"/>
      <c r="Z25" s="67"/>
      <c r="AA25" s="67"/>
      <c r="AB25" s="67"/>
      <c r="AC25" s="67"/>
      <c r="AD25" s="67"/>
      <c r="AE25" s="67"/>
      <c r="AF25" s="69" t="s">
        <v>90</v>
      </c>
      <c r="AG25" s="67"/>
      <c r="AH25" s="67"/>
      <c r="AI25" s="67"/>
      <c r="AJ25" s="67"/>
      <c r="AK25" s="67"/>
      <c r="AL25" s="67"/>
      <c r="AM25" s="67"/>
      <c r="AN25" s="67"/>
      <c r="AO25" s="67"/>
      <c r="AP25" s="67"/>
      <c r="AQ25" s="67"/>
      <c r="AR25" s="67"/>
      <c r="AS25" s="67"/>
      <c r="AT25" s="69" t="s">
        <v>91</v>
      </c>
      <c r="AU25" s="67"/>
      <c r="AV25" s="67"/>
      <c r="AW25" s="67"/>
      <c r="AX25" s="67"/>
      <c r="AY25" s="67"/>
      <c r="BO25" s="67"/>
      <c r="BP25" s="67"/>
      <c r="BQ25" s="67"/>
      <c r="BR25" s="67"/>
      <c r="BS25" s="67"/>
      <c r="BT25" s="69" t="s">
        <v>91</v>
      </c>
      <c r="BU25" s="67"/>
      <c r="BV25" s="67"/>
      <c r="BW25" s="67"/>
      <c r="BX25" s="67"/>
      <c r="BY25" s="67"/>
    </row>
    <row r="26" spans="2:77" ht="14.25" customHeight="1" x14ac:dyDescent="0.25">
      <c r="B26" s="67"/>
      <c r="C26" s="67"/>
      <c r="D26" s="67"/>
      <c r="E26" s="67"/>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BO26" s="67"/>
      <c r="BP26" s="67"/>
      <c r="BQ26" s="67"/>
      <c r="BR26" s="67"/>
      <c r="BS26" s="67"/>
      <c r="BT26" s="67"/>
      <c r="BU26" s="67"/>
      <c r="BV26" s="67"/>
      <c r="BW26" s="67"/>
      <c r="BX26" s="67"/>
      <c r="BY26" s="67"/>
    </row>
    <row r="27" spans="2:77" ht="14.25" customHeight="1" x14ac:dyDescent="0.25">
      <c r="B27" s="67"/>
      <c r="C27" s="67"/>
      <c r="D27" s="67"/>
      <c r="E27" s="67"/>
      <c r="F27" s="67"/>
      <c r="G27" s="67"/>
      <c r="H27" s="67"/>
      <c r="I27" s="67"/>
      <c r="J27" s="67"/>
      <c r="K27" s="67"/>
      <c r="L27" s="67"/>
      <c r="M27" s="67"/>
      <c r="N27" s="67"/>
      <c r="O27" s="67"/>
      <c r="P27" s="67"/>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11"/>
      <c r="AP27" s="11"/>
      <c r="AQ27" s="11"/>
      <c r="AR27" s="11"/>
      <c r="AS27" s="11"/>
      <c r="AT27" s="11"/>
      <c r="AU27" s="11"/>
      <c r="AV27" s="11"/>
      <c r="AW27" s="11"/>
      <c r="AX27" s="11"/>
      <c r="AY27" s="11"/>
      <c r="BO27" s="67"/>
      <c r="BP27" s="67"/>
      <c r="BQ27" s="67"/>
      <c r="BR27" s="67"/>
      <c r="BS27" s="67"/>
      <c r="BT27" s="67"/>
      <c r="BU27" s="67"/>
      <c r="BV27" s="67"/>
      <c r="BW27" s="67"/>
      <c r="BX27" s="67"/>
      <c r="BY27" s="67"/>
    </row>
    <row r="28" spans="2:77" ht="15" customHeight="1" x14ac:dyDescent="0.25">
      <c r="B28" s="67"/>
      <c r="C28" s="67"/>
      <c r="D28" s="67"/>
      <c r="E28" s="67"/>
      <c r="F28" s="67"/>
      <c r="G28" s="67"/>
      <c r="H28" s="67"/>
      <c r="I28" s="67"/>
      <c r="J28" s="67"/>
      <c r="K28" s="67"/>
      <c r="L28" s="67"/>
      <c r="M28" s="67"/>
      <c r="N28" s="67"/>
      <c r="O28" s="67"/>
      <c r="P28" s="67"/>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BO28" s="67"/>
      <c r="BP28" s="67"/>
      <c r="BQ28" s="67"/>
      <c r="BR28" s="67"/>
      <c r="BS28" s="67"/>
      <c r="BT28" s="67"/>
      <c r="BU28" s="67"/>
      <c r="BV28" s="67"/>
      <c r="BW28" s="67"/>
      <c r="BX28" s="67"/>
      <c r="BY28" s="67"/>
    </row>
    <row r="29" spans="2:77" ht="15" customHeight="1" x14ac:dyDescent="0.25">
      <c r="B29" s="67"/>
      <c r="C29" s="67"/>
      <c r="D29" s="67"/>
      <c r="E29" s="67"/>
      <c r="F29" s="67"/>
      <c r="G29" s="67"/>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BO29" s="67"/>
      <c r="BP29" s="67"/>
      <c r="BQ29" s="67"/>
      <c r="BR29" s="67"/>
      <c r="BS29" s="67"/>
      <c r="BT29" s="67"/>
      <c r="BU29" s="67"/>
      <c r="BV29" s="67"/>
      <c r="BW29" s="67"/>
      <c r="BX29" s="67"/>
      <c r="BY29" s="67"/>
    </row>
    <row r="30" spans="2:77" ht="15" customHeight="1" x14ac:dyDescent="0.25">
      <c r="B30" s="67"/>
      <c r="C30" s="67"/>
      <c r="D30" s="67"/>
      <c r="E30" s="67"/>
      <c r="F30" s="67"/>
      <c r="G30" s="67"/>
      <c r="H30" s="67"/>
      <c r="I30" s="67"/>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BO30" s="67"/>
      <c r="BP30" s="67"/>
      <c r="BQ30" s="67"/>
      <c r="BR30" s="67"/>
      <c r="BS30" s="67"/>
      <c r="BT30" s="67"/>
      <c r="BU30" s="67"/>
      <c r="BV30" s="67"/>
      <c r="BW30" s="67"/>
      <c r="BX30" s="67"/>
      <c r="BY30" s="67"/>
    </row>
    <row r="31" spans="2:77" ht="15" customHeight="1" x14ac:dyDescent="0.25">
      <c r="B31" s="67"/>
      <c r="C31" s="67"/>
      <c r="D31" s="67"/>
      <c r="E31" s="67"/>
      <c r="F31" s="67"/>
      <c r="G31" s="67"/>
      <c r="H31" s="67"/>
      <c r="I31" s="67"/>
      <c r="J31" s="67"/>
      <c r="K31" s="67"/>
      <c r="L31" s="67"/>
      <c r="M31" s="67"/>
      <c r="N31" s="67"/>
      <c r="O31" s="67"/>
      <c r="P31" s="67"/>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BO31" s="67"/>
      <c r="BP31" s="67"/>
      <c r="BQ31" s="67"/>
      <c r="BR31" s="67"/>
      <c r="BS31" s="67"/>
      <c r="BT31" s="67"/>
      <c r="BU31" s="67"/>
      <c r="BV31" s="67"/>
      <c r="BW31" s="67"/>
      <c r="BX31" s="67"/>
      <c r="BY31" s="67"/>
    </row>
    <row r="32" spans="2:77" ht="15" customHeight="1" x14ac:dyDescent="0.25">
      <c r="B32" s="68" t="s">
        <v>92</v>
      </c>
      <c r="C32" s="67"/>
      <c r="D32" s="67"/>
      <c r="E32" s="67"/>
      <c r="F32" s="67"/>
      <c r="G32" s="67"/>
      <c r="H32" s="67"/>
      <c r="I32" s="67"/>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BO32" s="67"/>
      <c r="BP32" s="67"/>
      <c r="BQ32" s="67"/>
      <c r="BR32" s="67"/>
      <c r="BS32" s="67"/>
      <c r="BT32" s="67"/>
      <c r="BU32" s="67"/>
      <c r="BV32" s="67"/>
      <c r="BW32" s="67"/>
      <c r="BX32" s="67"/>
      <c r="BY32" s="67"/>
    </row>
    <row r="33" spans="2:77" ht="15" customHeight="1" x14ac:dyDescent="0.25">
      <c r="B33" s="67" t="s">
        <v>93</v>
      </c>
      <c r="C33" s="67"/>
      <c r="D33" s="67"/>
      <c r="E33" s="67"/>
      <c r="F33" s="67"/>
      <c r="G33" s="67"/>
      <c r="H33" s="67"/>
      <c r="I33" s="67"/>
      <c r="J33" s="67"/>
      <c r="K33" s="67"/>
      <c r="L33" s="67"/>
      <c r="M33" s="67"/>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BO33" s="67"/>
      <c r="BP33" s="67"/>
      <c r="BQ33" s="67"/>
      <c r="BR33" s="67"/>
      <c r="BS33" s="67"/>
      <c r="BT33" s="67"/>
      <c r="BU33" s="67"/>
      <c r="BV33" s="67"/>
      <c r="BW33" s="67"/>
      <c r="BX33" s="67"/>
      <c r="BY33" s="67"/>
    </row>
    <row r="34" spans="2:77" ht="15" customHeight="1" x14ac:dyDescent="0.25">
      <c r="B34" s="67" t="s">
        <v>94</v>
      </c>
      <c r="C34" s="67"/>
      <c r="D34" s="67"/>
      <c r="E34" s="67"/>
      <c r="F34" s="67"/>
      <c r="G34" s="67"/>
      <c r="H34" s="67"/>
      <c r="I34" s="67"/>
      <c r="J34" s="67"/>
      <c r="K34" s="67"/>
      <c r="L34" s="67"/>
      <c r="M34" s="67"/>
      <c r="N34" s="67"/>
      <c r="O34" s="67"/>
      <c r="P34" s="67"/>
      <c r="Q34" s="67"/>
      <c r="R34" s="67"/>
      <c r="S34" s="67"/>
      <c r="T34" s="67"/>
      <c r="U34" s="67"/>
      <c r="V34" s="67"/>
      <c r="W34" s="67"/>
      <c r="X34" s="67"/>
      <c r="Y34" s="67"/>
      <c r="Z34" s="67"/>
      <c r="AA34" s="67"/>
      <c r="AB34" s="67"/>
      <c r="AC34" s="67"/>
      <c r="AD34" s="67"/>
      <c r="AE34" s="67"/>
      <c r="AF34" s="67"/>
      <c r="AG34" s="67"/>
      <c r="AH34" s="67"/>
      <c r="AI34" s="67"/>
      <c r="AJ34" s="67"/>
      <c r="AK34" s="67"/>
      <c r="AL34" s="67"/>
      <c r="AM34" s="67"/>
      <c r="AN34" s="67"/>
      <c r="BO34" s="67"/>
      <c r="BP34" s="67"/>
      <c r="BQ34" s="67"/>
      <c r="BR34" s="67"/>
      <c r="BS34" s="67"/>
      <c r="BT34" s="67"/>
      <c r="BU34" s="67"/>
      <c r="BV34" s="67"/>
      <c r="BW34" s="67"/>
      <c r="BX34" s="67"/>
      <c r="BY34" s="67"/>
    </row>
    <row r="35" spans="2:77" ht="15" customHeight="1" x14ac:dyDescent="0.25">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c r="AH35" s="67"/>
      <c r="AI35" s="67"/>
      <c r="AJ35" s="67"/>
      <c r="AK35" s="67"/>
      <c r="AL35" s="67"/>
      <c r="AM35" s="67"/>
      <c r="AN35" s="67"/>
      <c r="BO35" s="67"/>
      <c r="BP35" s="67"/>
      <c r="BQ35" s="67"/>
      <c r="BR35" s="67"/>
      <c r="BS35" s="67"/>
      <c r="BT35" s="67"/>
      <c r="BU35" s="67"/>
      <c r="BV35" s="67"/>
      <c r="BW35" s="67"/>
      <c r="BX35" s="67"/>
      <c r="BY35" s="67"/>
    </row>
    <row r="36" spans="2:77" ht="15" customHeight="1" x14ac:dyDescent="0.3">
      <c r="B36" s="31"/>
      <c r="C36" s="31"/>
      <c r="J36" s="33"/>
      <c r="K36" s="33"/>
      <c r="L36" s="33"/>
      <c r="M36" s="33"/>
      <c r="N36" s="33"/>
      <c r="O36" s="33"/>
      <c r="P36" s="33"/>
      <c r="Q36" s="33"/>
      <c r="R36" s="33"/>
      <c r="S36" s="33"/>
      <c r="T36" s="33"/>
      <c r="U36" s="33"/>
      <c r="V36" s="33"/>
      <c r="W36" s="33"/>
      <c r="X36" s="33"/>
      <c r="Y36" s="33"/>
      <c r="Z36" s="11"/>
      <c r="AA36" s="11"/>
      <c r="AB36" s="11"/>
      <c r="AC36" s="11"/>
      <c r="AD36" s="11"/>
      <c r="AE36" s="11"/>
      <c r="AF36" s="11"/>
      <c r="AG36" s="11"/>
      <c r="AH36" s="11"/>
      <c r="AI36" s="11"/>
      <c r="AJ36" s="11"/>
      <c r="AK36" s="11"/>
      <c r="AL36" s="11"/>
      <c r="AM36" s="11"/>
      <c r="AN36" s="11"/>
    </row>
  </sheetData>
  <autoFilter ref="A8:BA8" xr:uid="{00000000-0009-0000-0000-000001000000}"/>
  <mergeCells count="59">
    <mergeCell ref="AX12:AX13"/>
    <mergeCell ref="AY12:AY13"/>
    <mergeCell ref="AS12:AS13"/>
    <mergeCell ref="AT12:AT13"/>
    <mergeCell ref="AU12:AU13"/>
    <mergeCell ref="AV12:AV13"/>
    <mergeCell ref="AW12:AW13"/>
    <mergeCell ref="AN12:AN13"/>
    <mergeCell ref="AO12:AO13"/>
    <mergeCell ref="AP12:AP13"/>
    <mergeCell ref="AQ12:AQ13"/>
    <mergeCell ref="AR12:AR13"/>
    <mergeCell ref="AK9:AK10"/>
    <mergeCell ref="AL9:AL10"/>
    <mergeCell ref="AM9:AM10"/>
    <mergeCell ref="AK12:AK13"/>
    <mergeCell ref="AL12:AL13"/>
    <mergeCell ref="AM12:AM13"/>
    <mergeCell ref="AQ6:AS6"/>
    <mergeCell ref="AT6:AX6"/>
    <mergeCell ref="AY6:AY8"/>
    <mergeCell ref="AT9:AT10"/>
    <mergeCell ref="AU9:AU10"/>
    <mergeCell ref="AV9:AV10"/>
    <mergeCell ref="AW9:AW10"/>
    <mergeCell ref="AX9:AX10"/>
    <mergeCell ref="AY9:AY10"/>
    <mergeCell ref="AW7:AW8"/>
    <mergeCell ref="AX7:AX8"/>
    <mergeCell ref="AN9:AN10"/>
    <mergeCell ref="AO9:AO10"/>
    <mergeCell ref="AP9:AP10"/>
    <mergeCell ref="AQ9:AQ10"/>
    <mergeCell ref="AR9:AR10"/>
    <mergeCell ref="AS9:AS10"/>
    <mergeCell ref="AK6:AP6"/>
    <mergeCell ref="AZ6:AZ8"/>
    <mergeCell ref="BA6:BA8"/>
    <mergeCell ref="D7:D8"/>
    <mergeCell ref="AK7:AK8"/>
    <mergeCell ref="AL7:AL8"/>
    <mergeCell ref="AM7:AM8"/>
    <mergeCell ref="AN7:AN8"/>
    <mergeCell ref="AO7:AO8"/>
    <mergeCell ref="AP7:AP8"/>
    <mergeCell ref="AQ7:AQ8"/>
    <mergeCell ref="AR7:AR8"/>
    <mergeCell ref="AS7:AS8"/>
    <mergeCell ref="AT7:AT8"/>
    <mergeCell ref="AU7:AU8"/>
    <mergeCell ref="AV7:AV8"/>
    <mergeCell ref="A3:AJ3"/>
    <mergeCell ref="O4:P4"/>
    <mergeCell ref="O5:P5"/>
    <mergeCell ref="A6:A8"/>
    <mergeCell ref="B6:B8"/>
    <mergeCell ref="C6:C8"/>
    <mergeCell ref="D6:AI6"/>
    <mergeCell ref="AJ6:AJ8"/>
  </mergeCells>
  <conditionalFormatting sqref="E7:AI13">
    <cfRule type="expression" dxfId="11" priority="2">
      <formula>E$7=""</formula>
    </cfRule>
    <cfRule type="expression" dxfId="10" priority="3">
      <formula>E$8="CN"</formula>
    </cfRule>
  </conditionalFormatting>
  <conditionalFormatting sqref="AZ9:AZ13">
    <cfRule type="cellIs" dxfId="9" priority="4" operator="equal">
      <formula>"Vượt trần!"</formula>
    </cfRule>
  </conditionalFormatting>
  <pageMargins left="0.118055555555556" right="0.118055555555556" top="0.23611111111111099" bottom="0.196527777777778" header="0.511811023622047" footer="0.511811023622047"/>
  <pageSetup paperSize="9"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66FF"/>
  </sheetPr>
  <dimension ref="A1:IC16"/>
  <sheetViews>
    <sheetView zoomScale="115" zoomScaleNormal="115" workbookViewId="0">
      <selection sqref="A1:I1"/>
    </sheetView>
  </sheetViews>
  <sheetFormatPr defaultColWidth="9" defaultRowHeight="13.8" x14ac:dyDescent="0.3"/>
  <cols>
    <col min="1" max="1" width="3.88671875" style="70" customWidth="1"/>
    <col min="2" max="2" width="27.109375" style="71" customWidth="1"/>
    <col min="3" max="3" width="20.33203125" style="72" customWidth="1"/>
    <col min="4" max="7" width="14.33203125" style="73" customWidth="1"/>
    <col min="8" max="8" width="17.88671875" style="74" customWidth="1"/>
    <col min="9" max="9" width="14.33203125" style="71" customWidth="1"/>
    <col min="10" max="10" width="13.33203125" style="71" customWidth="1"/>
    <col min="11" max="11" width="10.6640625" style="71" customWidth="1"/>
    <col min="12" max="12" width="10.88671875" style="71" customWidth="1"/>
    <col min="13" max="13" width="10" style="71" customWidth="1"/>
    <col min="14" max="15" width="9" style="71"/>
    <col min="16" max="16" width="12" style="75" customWidth="1"/>
    <col min="17" max="238" width="9" style="71"/>
    <col min="239" max="239" width="6.109375" style="71" customWidth="1"/>
    <col min="240" max="240" width="13.88671875" style="71" customWidth="1"/>
    <col min="241" max="241" width="6.33203125" style="71" customWidth="1"/>
    <col min="242" max="242" width="9.88671875" style="71" customWidth="1"/>
    <col min="243" max="243" width="9.109375" style="71" customWidth="1"/>
    <col min="244" max="244" width="9.33203125" style="71" customWidth="1"/>
    <col min="245" max="245" width="10.109375" style="71" customWidth="1"/>
    <col min="246" max="247" width="9.5546875" style="71" customWidth="1"/>
    <col min="248" max="248" width="6.5546875" style="71" customWidth="1"/>
    <col min="249" max="249" width="9.88671875" style="71" customWidth="1"/>
    <col min="250" max="250" width="9.44140625" style="71" customWidth="1"/>
    <col min="251" max="254" width="7.88671875" style="71" customWidth="1"/>
    <col min="255" max="255" width="9.5546875" style="71" customWidth="1"/>
    <col min="256" max="259" width="8.5546875" style="71" customWidth="1"/>
    <col min="260" max="260" width="8" style="71" customWidth="1"/>
    <col min="261" max="261" width="7.88671875" style="71" customWidth="1"/>
    <col min="262" max="262" width="12.109375" style="71" customWidth="1"/>
    <col min="263" max="263" width="9.33203125" style="71" customWidth="1"/>
    <col min="264" max="264" width="10" style="71" customWidth="1"/>
    <col min="265" max="494" width="9" style="71"/>
    <col min="495" max="495" width="6.109375" style="71" customWidth="1"/>
    <col min="496" max="496" width="13.88671875" style="71" customWidth="1"/>
    <col min="497" max="497" width="6.33203125" style="71" customWidth="1"/>
    <col min="498" max="498" width="9.88671875" style="71" customWidth="1"/>
    <col min="499" max="499" width="9.109375" style="71" customWidth="1"/>
    <col min="500" max="500" width="9.33203125" style="71" customWidth="1"/>
    <col min="501" max="501" width="10.109375" style="71" customWidth="1"/>
    <col min="502" max="503" width="9.5546875" style="71" customWidth="1"/>
    <col min="504" max="504" width="6.5546875" style="71" customWidth="1"/>
    <col min="505" max="505" width="9.88671875" style="71" customWidth="1"/>
    <col min="506" max="506" width="9.44140625" style="71" customWidth="1"/>
    <col min="507" max="510" width="7.88671875" style="71" customWidth="1"/>
    <col min="511" max="511" width="9.5546875" style="71" customWidth="1"/>
    <col min="512" max="515" width="8.5546875" style="71" customWidth="1"/>
    <col min="516" max="516" width="8" style="71" customWidth="1"/>
    <col min="517" max="517" width="7.88671875" style="71" customWidth="1"/>
    <col min="518" max="518" width="12.109375" style="71" customWidth="1"/>
    <col min="519" max="519" width="9.33203125" style="71" customWidth="1"/>
    <col min="520" max="520" width="10" style="71" customWidth="1"/>
    <col min="521" max="750" width="9" style="71"/>
    <col min="751" max="751" width="6.109375" style="71" customWidth="1"/>
    <col min="752" max="752" width="13.88671875" style="71" customWidth="1"/>
    <col min="753" max="753" width="6.33203125" style="71" customWidth="1"/>
    <col min="754" max="754" width="9.88671875" style="71" customWidth="1"/>
    <col min="755" max="755" width="9.109375" style="71" customWidth="1"/>
    <col min="756" max="756" width="9.33203125" style="71" customWidth="1"/>
    <col min="757" max="757" width="10.109375" style="71" customWidth="1"/>
    <col min="758" max="759" width="9.5546875" style="71" customWidth="1"/>
    <col min="760" max="760" width="6.5546875" style="71" customWidth="1"/>
    <col min="761" max="761" width="9.88671875" style="71" customWidth="1"/>
    <col min="762" max="762" width="9.44140625" style="71" customWidth="1"/>
    <col min="763" max="766" width="7.88671875" style="71" customWidth="1"/>
    <col min="767" max="767" width="9.5546875" style="71" customWidth="1"/>
    <col min="768" max="771" width="8.5546875" style="71" customWidth="1"/>
    <col min="772" max="772" width="8" style="71" customWidth="1"/>
    <col min="773" max="773" width="7.88671875" style="71" customWidth="1"/>
    <col min="774" max="774" width="12.109375" style="71" customWidth="1"/>
    <col min="775" max="775" width="9.33203125" style="71" customWidth="1"/>
    <col min="776" max="776" width="10" style="71" customWidth="1"/>
    <col min="777" max="1006" width="9" style="71"/>
    <col min="1007" max="1007" width="6.109375" style="71" customWidth="1"/>
    <col min="1008" max="1008" width="13.88671875" style="71" customWidth="1"/>
    <col min="1009" max="1009" width="6.33203125" style="71" customWidth="1"/>
    <col min="1010" max="1010" width="9.88671875" style="71" customWidth="1"/>
    <col min="1011" max="1011" width="9.109375" style="71" customWidth="1"/>
    <col min="1012" max="1012" width="9.33203125" style="71" customWidth="1"/>
    <col min="1013" max="1013" width="10.109375" style="71" customWidth="1"/>
    <col min="1014" max="1015" width="9.5546875" style="71" customWidth="1"/>
    <col min="1016" max="1016" width="6.5546875" style="71" customWidth="1"/>
    <col min="1017" max="1017" width="9.88671875" style="71" customWidth="1"/>
    <col min="1018" max="1018" width="9.44140625" style="71" customWidth="1"/>
    <col min="1019" max="1022" width="7.88671875" style="71" customWidth="1"/>
    <col min="1023" max="1023" width="9.5546875" style="71" customWidth="1"/>
    <col min="1024" max="1027" width="8.5546875" style="71" customWidth="1"/>
    <col min="1028" max="1028" width="8" style="71" customWidth="1"/>
    <col min="1029" max="1029" width="7.88671875" style="71" customWidth="1"/>
    <col min="1030" max="1030" width="12.109375" style="71" customWidth="1"/>
    <col min="1031" max="1031" width="9.33203125" style="71" customWidth="1"/>
    <col min="1032" max="1032" width="10" style="71" customWidth="1"/>
    <col min="1033" max="1262" width="9" style="71"/>
    <col min="1263" max="1263" width="6.109375" style="71" customWidth="1"/>
    <col min="1264" max="1264" width="13.88671875" style="71" customWidth="1"/>
    <col min="1265" max="1265" width="6.33203125" style="71" customWidth="1"/>
    <col min="1266" max="1266" width="9.88671875" style="71" customWidth="1"/>
    <col min="1267" max="1267" width="9.109375" style="71" customWidth="1"/>
    <col min="1268" max="1268" width="9.33203125" style="71" customWidth="1"/>
    <col min="1269" max="1269" width="10.109375" style="71" customWidth="1"/>
    <col min="1270" max="1271" width="9.5546875" style="71" customWidth="1"/>
    <col min="1272" max="1272" width="6.5546875" style="71" customWidth="1"/>
    <col min="1273" max="1273" width="9.88671875" style="71" customWidth="1"/>
    <col min="1274" max="1274" width="9.44140625" style="71" customWidth="1"/>
    <col min="1275" max="1278" width="7.88671875" style="71" customWidth="1"/>
    <col min="1279" max="1279" width="9.5546875" style="71" customWidth="1"/>
    <col min="1280" max="1283" width="8.5546875" style="71" customWidth="1"/>
    <col min="1284" max="1284" width="8" style="71" customWidth="1"/>
    <col min="1285" max="1285" width="7.88671875" style="71" customWidth="1"/>
    <col min="1286" max="1286" width="12.109375" style="71" customWidth="1"/>
    <col min="1287" max="1287" width="9.33203125" style="71" customWidth="1"/>
    <col min="1288" max="1288" width="10" style="71" customWidth="1"/>
    <col min="1289" max="1518" width="9" style="71"/>
    <col min="1519" max="1519" width="6.109375" style="71" customWidth="1"/>
    <col min="1520" max="1520" width="13.88671875" style="71" customWidth="1"/>
    <col min="1521" max="1521" width="6.33203125" style="71" customWidth="1"/>
    <col min="1522" max="1522" width="9.88671875" style="71" customWidth="1"/>
    <col min="1523" max="1523" width="9.109375" style="71" customWidth="1"/>
    <col min="1524" max="1524" width="9.33203125" style="71" customWidth="1"/>
    <col min="1525" max="1525" width="10.109375" style="71" customWidth="1"/>
    <col min="1526" max="1527" width="9.5546875" style="71" customWidth="1"/>
    <col min="1528" max="1528" width="6.5546875" style="71" customWidth="1"/>
    <col min="1529" max="1529" width="9.88671875" style="71" customWidth="1"/>
    <col min="1530" max="1530" width="9.44140625" style="71" customWidth="1"/>
    <col min="1531" max="1534" width="7.88671875" style="71" customWidth="1"/>
    <col min="1535" max="1535" width="9.5546875" style="71" customWidth="1"/>
    <col min="1536" max="1539" width="8.5546875" style="71" customWidth="1"/>
    <col min="1540" max="1540" width="8" style="71" customWidth="1"/>
    <col min="1541" max="1541" width="7.88671875" style="71" customWidth="1"/>
    <col min="1542" max="1542" width="12.109375" style="71" customWidth="1"/>
    <col min="1543" max="1543" width="9.33203125" style="71" customWidth="1"/>
    <col min="1544" max="1544" width="10" style="71" customWidth="1"/>
    <col min="1545" max="1774" width="9" style="71"/>
    <col min="1775" max="1775" width="6.109375" style="71" customWidth="1"/>
    <col min="1776" max="1776" width="13.88671875" style="71" customWidth="1"/>
    <col min="1777" max="1777" width="6.33203125" style="71" customWidth="1"/>
    <col min="1778" max="1778" width="9.88671875" style="71" customWidth="1"/>
    <col min="1779" max="1779" width="9.109375" style="71" customWidth="1"/>
    <col min="1780" max="1780" width="9.33203125" style="71" customWidth="1"/>
    <col min="1781" max="1781" width="10.109375" style="71" customWidth="1"/>
    <col min="1782" max="1783" width="9.5546875" style="71" customWidth="1"/>
    <col min="1784" max="1784" width="6.5546875" style="71" customWidth="1"/>
    <col min="1785" max="1785" width="9.88671875" style="71" customWidth="1"/>
    <col min="1786" max="1786" width="9.44140625" style="71" customWidth="1"/>
    <col min="1787" max="1790" width="7.88671875" style="71" customWidth="1"/>
    <col min="1791" max="1791" width="9.5546875" style="71" customWidth="1"/>
    <col min="1792" max="1795" width="8.5546875" style="71" customWidth="1"/>
    <col min="1796" max="1796" width="8" style="71" customWidth="1"/>
    <col min="1797" max="1797" width="7.88671875" style="71" customWidth="1"/>
    <col min="1798" max="1798" width="12.109375" style="71" customWidth="1"/>
    <col min="1799" max="1799" width="9.33203125" style="71" customWidth="1"/>
    <col min="1800" max="1800" width="10" style="71" customWidth="1"/>
    <col min="1801" max="2030" width="9" style="71"/>
    <col min="2031" max="2031" width="6.109375" style="71" customWidth="1"/>
    <col min="2032" max="2032" width="13.88671875" style="71" customWidth="1"/>
    <col min="2033" max="2033" width="6.33203125" style="71" customWidth="1"/>
    <col min="2034" max="2034" width="9.88671875" style="71" customWidth="1"/>
    <col min="2035" max="2035" width="9.109375" style="71" customWidth="1"/>
    <col min="2036" max="2036" width="9.33203125" style="71" customWidth="1"/>
    <col min="2037" max="2037" width="10.109375" style="71" customWidth="1"/>
    <col min="2038" max="2039" width="9.5546875" style="71" customWidth="1"/>
    <col min="2040" max="2040" width="6.5546875" style="71" customWidth="1"/>
    <col min="2041" max="2041" width="9.88671875" style="71" customWidth="1"/>
    <col min="2042" max="2042" width="9.44140625" style="71" customWidth="1"/>
    <col min="2043" max="2046" width="7.88671875" style="71" customWidth="1"/>
    <col min="2047" max="2047" width="9.5546875" style="71" customWidth="1"/>
    <col min="2048" max="2051" width="8.5546875" style="71" customWidth="1"/>
    <col min="2052" max="2052" width="8" style="71" customWidth="1"/>
    <col min="2053" max="2053" width="7.88671875" style="71" customWidth="1"/>
    <col min="2054" max="2054" width="12.109375" style="71" customWidth="1"/>
    <col min="2055" max="2055" width="9.33203125" style="71" customWidth="1"/>
    <col min="2056" max="2056" width="10" style="71" customWidth="1"/>
    <col min="2057" max="2286" width="9" style="71"/>
    <col min="2287" max="2287" width="6.109375" style="71" customWidth="1"/>
    <col min="2288" max="2288" width="13.88671875" style="71" customWidth="1"/>
    <col min="2289" max="2289" width="6.33203125" style="71" customWidth="1"/>
    <col min="2290" max="2290" width="9.88671875" style="71" customWidth="1"/>
    <col min="2291" max="2291" width="9.109375" style="71" customWidth="1"/>
    <col min="2292" max="2292" width="9.33203125" style="71" customWidth="1"/>
    <col min="2293" max="2293" width="10.109375" style="71" customWidth="1"/>
    <col min="2294" max="2295" width="9.5546875" style="71" customWidth="1"/>
    <col min="2296" max="2296" width="6.5546875" style="71" customWidth="1"/>
    <col min="2297" max="2297" width="9.88671875" style="71" customWidth="1"/>
    <col min="2298" max="2298" width="9.44140625" style="71" customWidth="1"/>
    <col min="2299" max="2302" width="7.88671875" style="71" customWidth="1"/>
    <col min="2303" max="2303" width="9.5546875" style="71" customWidth="1"/>
    <col min="2304" max="2307" width="8.5546875" style="71" customWidth="1"/>
    <col min="2308" max="2308" width="8" style="71" customWidth="1"/>
    <col min="2309" max="2309" width="7.88671875" style="71" customWidth="1"/>
    <col min="2310" max="2310" width="12.109375" style="71" customWidth="1"/>
    <col min="2311" max="2311" width="9.33203125" style="71" customWidth="1"/>
    <col min="2312" max="2312" width="10" style="71" customWidth="1"/>
    <col min="2313" max="2542" width="9" style="71"/>
    <col min="2543" max="2543" width="6.109375" style="71" customWidth="1"/>
    <col min="2544" max="2544" width="13.88671875" style="71" customWidth="1"/>
    <col min="2545" max="2545" width="6.33203125" style="71" customWidth="1"/>
    <col min="2546" max="2546" width="9.88671875" style="71" customWidth="1"/>
    <col min="2547" max="2547" width="9.109375" style="71" customWidth="1"/>
    <col min="2548" max="2548" width="9.33203125" style="71" customWidth="1"/>
    <col min="2549" max="2549" width="10.109375" style="71" customWidth="1"/>
    <col min="2550" max="2551" width="9.5546875" style="71" customWidth="1"/>
    <col min="2552" max="2552" width="6.5546875" style="71" customWidth="1"/>
    <col min="2553" max="2553" width="9.88671875" style="71" customWidth="1"/>
    <col min="2554" max="2554" width="9.44140625" style="71" customWidth="1"/>
    <col min="2555" max="2558" width="7.88671875" style="71" customWidth="1"/>
    <col min="2559" max="2559" width="9.5546875" style="71" customWidth="1"/>
    <col min="2560" max="2563" width="8.5546875" style="71" customWidth="1"/>
    <col min="2564" max="2564" width="8" style="71" customWidth="1"/>
    <col min="2565" max="2565" width="7.88671875" style="71" customWidth="1"/>
    <col min="2566" max="2566" width="12.109375" style="71" customWidth="1"/>
    <col min="2567" max="2567" width="9.33203125" style="71" customWidth="1"/>
    <col min="2568" max="2568" width="10" style="71" customWidth="1"/>
    <col min="2569" max="2798" width="9" style="71"/>
    <col min="2799" max="2799" width="6.109375" style="71" customWidth="1"/>
    <col min="2800" max="2800" width="13.88671875" style="71" customWidth="1"/>
    <col min="2801" max="2801" width="6.33203125" style="71" customWidth="1"/>
    <col min="2802" max="2802" width="9.88671875" style="71" customWidth="1"/>
    <col min="2803" max="2803" width="9.109375" style="71" customWidth="1"/>
    <col min="2804" max="2804" width="9.33203125" style="71" customWidth="1"/>
    <col min="2805" max="2805" width="10.109375" style="71" customWidth="1"/>
    <col min="2806" max="2807" width="9.5546875" style="71" customWidth="1"/>
    <col min="2808" max="2808" width="6.5546875" style="71" customWidth="1"/>
    <col min="2809" max="2809" width="9.88671875" style="71" customWidth="1"/>
    <col min="2810" max="2810" width="9.44140625" style="71" customWidth="1"/>
    <col min="2811" max="2814" width="7.88671875" style="71" customWidth="1"/>
    <col min="2815" max="2815" width="9.5546875" style="71" customWidth="1"/>
    <col min="2816" max="2819" width="8.5546875" style="71" customWidth="1"/>
    <col min="2820" max="2820" width="8" style="71" customWidth="1"/>
    <col min="2821" max="2821" width="7.88671875" style="71" customWidth="1"/>
    <col min="2822" max="2822" width="12.109375" style="71" customWidth="1"/>
    <col min="2823" max="2823" width="9.33203125" style="71" customWidth="1"/>
    <col min="2824" max="2824" width="10" style="71" customWidth="1"/>
    <col min="2825" max="3054" width="9" style="71"/>
    <col min="3055" max="3055" width="6.109375" style="71" customWidth="1"/>
    <col min="3056" max="3056" width="13.88671875" style="71" customWidth="1"/>
    <col min="3057" max="3057" width="6.33203125" style="71" customWidth="1"/>
    <col min="3058" max="3058" width="9.88671875" style="71" customWidth="1"/>
    <col min="3059" max="3059" width="9.109375" style="71" customWidth="1"/>
    <col min="3060" max="3060" width="9.33203125" style="71" customWidth="1"/>
    <col min="3061" max="3061" width="10.109375" style="71" customWidth="1"/>
    <col min="3062" max="3063" width="9.5546875" style="71" customWidth="1"/>
    <col min="3064" max="3064" width="6.5546875" style="71" customWidth="1"/>
    <col min="3065" max="3065" width="9.88671875" style="71" customWidth="1"/>
    <col min="3066" max="3066" width="9.44140625" style="71" customWidth="1"/>
    <col min="3067" max="3070" width="7.88671875" style="71" customWidth="1"/>
    <col min="3071" max="3071" width="9.5546875" style="71" customWidth="1"/>
    <col min="3072" max="3075" width="8.5546875" style="71" customWidth="1"/>
    <col min="3076" max="3076" width="8" style="71" customWidth="1"/>
    <col min="3077" max="3077" width="7.88671875" style="71" customWidth="1"/>
    <col min="3078" max="3078" width="12.109375" style="71" customWidth="1"/>
    <col min="3079" max="3079" width="9.33203125" style="71" customWidth="1"/>
    <col min="3080" max="3080" width="10" style="71" customWidth="1"/>
    <col min="3081" max="3310" width="9" style="71"/>
    <col min="3311" max="3311" width="6.109375" style="71" customWidth="1"/>
    <col min="3312" max="3312" width="13.88671875" style="71" customWidth="1"/>
    <col min="3313" max="3313" width="6.33203125" style="71" customWidth="1"/>
    <col min="3314" max="3314" width="9.88671875" style="71" customWidth="1"/>
    <col min="3315" max="3315" width="9.109375" style="71" customWidth="1"/>
    <col min="3316" max="3316" width="9.33203125" style="71" customWidth="1"/>
    <col min="3317" max="3317" width="10.109375" style="71" customWidth="1"/>
    <col min="3318" max="3319" width="9.5546875" style="71" customWidth="1"/>
    <col min="3320" max="3320" width="6.5546875" style="71" customWidth="1"/>
    <col min="3321" max="3321" width="9.88671875" style="71" customWidth="1"/>
    <col min="3322" max="3322" width="9.44140625" style="71" customWidth="1"/>
    <col min="3323" max="3326" width="7.88671875" style="71" customWidth="1"/>
    <col min="3327" max="3327" width="9.5546875" style="71" customWidth="1"/>
    <col min="3328" max="3331" width="8.5546875" style="71" customWidth="1"/>
    <col min="3332" max="3332" width="8" style="71" customWidth="1"/>
    <col min="3333" max="3333" width="7.88671875" style="71" customWidth="1"/>
    <col min="3334" max="3334" width="12.109375" style="71" customWidth="1"/>
    <col min="3335" max="3335" width="9.33203125" style="71" customWidth="1"/>
    <col min="3336" max="3336" width="10" style="71" customWidth="1"/>
    <col min="3337" max="3566" width="9" style="71"/>
    <col min="3567" max="3567" width="6.109375" style="71" customWidth="1"/>
    <col min="3568" max="3568" width="13.88671875" style="71" customWidth="1"/>
    <col min="3569" max="3569" width="6.33203125" style="71" customWidth="1"/>
    <col min="3570" max="3570" width="9.88671875" style="71" customWidth="1"/>
    <col min="3571" max="3571" width="9.109375" style="71" customWidth="1"/>
    <col min="3572" max="3572" width="9.33203125" style="71" customWidth="1"/>
    <col min="3573" max="3573" width="10.109375" style="71" customWidth="1"/>
    <col min="3574" max="3575" width="9.5546875" style="71" customWidth="1"/>
    <col min="3576" max="3576" width="6.5546875" style="71" customWidth="1"/>
    <col min="3577" max="3577" width="9.88671875" style="71" customWidth="1"/>
    <col min="3578" max="3578" width="9.44140625" style="71" customWidth="1"/>
    <col min="3579" max="3582" width="7.88671875" style="71" customWidth="1"/>
    <col min="3583" max="3583" width="9.5546875" style="71" customWidth="1"/>
    <col min="3584" max="3587" width="8.5546875" style="71" customWidth="1"/>
    <col min="3588" max="3588" width="8" style="71" customWidth="1"/>
    <col min="3589" max="3589" width="7.88671875" style="71" customWidth="1"/>
    <col min="3590" max="3590" width="12.109375" style="71" customWidth="1"/>
    <col min="3591" max="3591" width="9.33203125" style="71" customWidth="1"/>
    <col min="3592" max="3592" width="10" style="71" customWidth="1"/>
    <col min="3593" max="3822" width="9" style="71"/>
    <col min="3823" max="3823" width="6.109375" style="71" customWidth="1"/>
    <col min="3824" max="3824" width="13.88671875" style="71" customWidth="1"/>
    <col min="3825" max="3825" width="6.33203125" style="71" customWidth="1"/>
    <col min="3826" max="3826" width="9.88671875" style="71" customWidth="1"/>
    <col min="3827" max="3827" width="9.109375" style="71" customWidth="1"/>
    <col min="3828" max="3828" width="9.33203125" style="71" customWidth="1"/>
    <col min="3829" max="3829" width="10.109375" style="71" customWidth="1"/>
    <col min="3830" max="3831" width="9.5546875" style="71" customWidth="1"/>
    <col min="3832" max="3832" width="6.5546875" style="71" customWidth="1"/>
    <col min="3833" max="3833" width="9.88671875" style="71" customWidth="1"/>
    <col min="3834" max="3834" width="9.44140625" style="71" customWidth="1"/>
    <col min="3835" max="3838" width="7.88671875" style="71" customWidth="1"/>
    <col min="3839" max="3839" width="9.5546875" style="71" customWidth="1"/>
    <col min="3840" max="3843" width="8.5546875" style="71" customWidth="1"/>
    <col min="3844" max="3844" width="8" style="71" customWidth="1"/>
    <col min="3845" max="3845" width="7.88671875" style="71" customWidth="1"/>
    <col min="3846" max="3846" width="12.109375" style="71" customWidth="1"/>
    <col min="3847" max="3847" width="9.33203125" style="71" customWidth="1"/>
    <col min="3848" max="3848" width="10" style="71" customWidth="1"/>
    <col min="3849" max="4078" width="9" style="71"/>
    <col min="4079" max="4079" width="6.109375" style="71" customWidth="1"/>
    <col min="4080" max="4080" width="13.88671875" style="71" customWidth="1"/>
    <col min="4081" max="4081" width="6.33203125" style="71" customWidth="1"/>
    <col min="4082" max="4082" width="9.88671875" style="71" customWidth="1"/>
    <col min="4083" max="4083" width="9.109375" style="71" customWidth="1"/>
    <col min="4084" max="4084" width="9.33203125" style="71" customWidth="1"/>
    <col min="4085" max="4085" width="10.109375" style="71" customWidth="1"/>
    <col min="4086" max="4087" width="9.5546875" style="71" customWidth="1"/>
    <col min="4088" max="4088" width="6.5546875" style="71" customWidth="1"/>
    <col min="4089" max="4089" width="9.88671875" style="71" customWidth="1"/>
    <col min="4090" max="4090" width="9.44140625" style="71" customWidth="1"/>
    <col min="4091" max="4094" width="7.88671875" style="71" customWidth="1"/>
    <col min="4095" max="4095" width="9.5546875" style="71" customWidth="1"/>
    <col min="4096" max="4099" width="8.5546875" style="71" customWidth="1"/>
    <col min="4100" max="4100" width="8" style="71" customWidth="1"/>
    <col min="4101" max="4101" width="7.88671875" style="71" customWidth="1"/>
    <col min="4102" max="4102" width="12.109375" style="71" customWidth="1"/>
    <col min="4103" max="4103" width="9.33203125" style="71" customWidth="1"/>
    <col min="4104" max="4104" width="10" style="71" customWidth="1"/>
    <col min="4105" max="4334" width="9" style="71"/>
    <col min="4335" max="4335" width="6.109375" style="71" customWidth="1"/>
    <col min="4336" max="4336" width="13.88671875" style="71" customWidth="1"/>
    <col min="4337" max="4337" width="6.33203125" style="71" customWidth="1"/>
    <col min="4338" max="4338" width="9.88671875" style="71" customWidth="1"/>
    <col min="4339" max="4339" width="9.109375" style="71" customWidth="1"/>
    <col min="4340" max="4340" width="9.33203125" style="71" customWidth="1"/>
    <col min="4341" max="4341" width="10.109375" style="71" customWidth="1"/>
    <col min="4342" max="4343" width="9.5546875" style="71" customWidth="1"/>
    <col min="4344" max="4344" width="6.5546875" style="71" customWidth="1"/>
    <col min="4345" max="4345" width="9.88671875" style="71" customWidth="1"/>
    <col min="4346" max="4346" width="9.44140625" style="71" customWidth="1"/>
    <col min="4347" max="4350" width="7.88671875" style="71" customWidth="1"/>
    <col min="4351" max="4351" width="9.5546875" style="71" customWidth="1"/>
    <col min="4352" max="4355" width="8.5546875" style="71" customWidth="1"/>
    <col min="4356" max="4356" width="8" style="71" customWidth="1"/>
    <col min="4357" max="4357" width="7.88671875" style="71" customWidth="1"/>
    <col min="4358" max="4358" width="12.109375" style="71" customWidth="1"/>
    <col min="4359" max="4359" width="9.33203125" style="71" customWidth="1"/>
    <col min="4360" max="4360" width="10" style="71" customWidth="1"/>
    <col min="4361" max="4590" width="9" style="71"/>
    <col min="4591" max="4591" width="6.109375" style="71" customWidth="1"/>
    <col min="4592" max="4592" width="13.88671875" style="71" customWidth="1"/>
    <col min="4593" max="4593" width="6.33203125" style="71" customWidth="1"/>
    <col min="4594" max="4594" width="9.88671875" style="71" customWidth="1"/>
    <col min="4595" max="4595" width="9.109375" style="71" customWidth="1"/>
    <col min="4596" max="4596" width="9.33203125" style="71" customWidth="1"/>
    <col min="4597" max="4597" width="10.109375" style="71" customWidth="1"/>
    <col min="4598" max="4599" width="9.5546875" style="71" customWidth="1"/>
    <col min="4600" max="4600" width="6.5546875" style="71" customWidth="1"/>
    <col min="4601" max="4601" width="9.88671875" style="71" customWidth="1"/>
    <col min="4602" max="4602" width="9.44140625" style="71" customWidth="1"/>
    <col min="4603" max="4606" width="7.88671875" style="71" customWidth="1"/>
    <col min="4607" max="4607" width="9.5546875" style="71" customWidth="1"/>
    <col min="4608" max="4611" width="8.5546875" style="71" customWidth="1"/>
    <col min="4612" max="4612" width="8" style="71" customWidth="1"/>
    <col min="4613" max="4613" width="7.88671875" style="71" customWidth="1"/>
    <col min="4614" max="4614" width="12.109375" style="71" customWidth="1"/>
    <col min="4615" max="4615" width="9.33203125" style="71" customWidth="1"/>
    <col min="4616" max="4616" width="10" style="71" customWidth="1"/>
    <col min="4617" max="4846" width="9" style="71"/>
    <col min="4847" max="4847" width="6.109375" style="71" customWidth="1"/>
    <col min="4848" max="4848" width="13.88671875" style="71" customWidth="1"/>
    <col min="4849" max="4849" width="6.33203125" style="71" customWidth="1"/>
    <col min="4850" max="4850" width="9.88671875" style="71" customWidth="1"/>
    <col min="4851" max="4851" width="9.109375" style="71" customWidth="1"/>
    <col min="4852" max="4852" width="9.33203125" style="71" customWidth="1"/>
    <col min="4853" max="4853" width="10.109375" style="71" customWidth="1"/>
    <col min="4854" max="4855" width="9.5546875" style="71" customWidth="1"/>
    <col min="4856" max="4856" width="6.5546875" style="71" customWidth="1"/>
    <col min="4857" max="4857" width="9.88671875" style="71" customWidth="1"/>
    <col min="4858" max="4858" width="9.44140625" style="71" customWidth="1"/>
    <col min="4859" max="4862" width="7.88671875" style="71" customWidth="1"/>
    <col min="4863" max="4863" width="9.5546875" style="71" customWidth="1"/>
    <col min="4864" max="4867" width="8.5546875" style="71" customWidth="1"/>
    <col min="4868" max="4868" width="8" style="71" customWidth="1"/>
    <col min="4869" max="4869" width="7.88671875" style="71" customWidth="1"/>
    <col min="4870" max="4870" width="12.109375" style="71" customWidth="1"/>
    <col min="4871" max="4871" width="9.33203125" style="71" customWidth="1"/>
    <col min="4872" max="4872" width="10" style="71" customWidth="1"/>
    <col min="4873" max="5102" width="9" style="71"/>
    <col min="5103" max="5103" width="6.109375" style="71" customWidth="1"/>
    <col min="5104" max="5104" width="13.88671875" style="71" customWidth="1"/>
    <col min="5105" max="5105" width="6.33203125" style="71" customWidth="1"/>
    <col min="5106" max="5106" width="9.88671875" style="71" customWidth="1"/>
    <col min="5107" max="5107" width="9.109375" style="71" customWidth="1"/>
    <col min="5108" max="5108" width="9.33203125" style="71" customWidth="1"/>
    <col min="5109" max="5109" width="10.109375" style="71" customWidth="1"/>
    <col min="5110" max="5111" width="9.5546875" style="71" customWidth="1"/>
    <col min="5112" max="5112" width="6.5546875" style="71" customWidth="1"/>
    <col min="5113" max="5113" width="9.88671875" style="71" customWidth="1"/>
    <col min="5114" max="5114" width="9.44140625" style="71" customWidth="1"/>
    <col min="5115" max="5118" width="7.88671875" style="71" customWidth="1"/>
    <col min="5119" max="5119" width="9.5546875" style="71" customWidth="1"/>
    <col min="5120" max="5123" width="8.5546875" style="71" customWidth="1"/>
    <col min="5124" max="5124" width="8" style="71" customWidth="1"/>
    <col min="5125" max="5125" width="7.88671875" style="71" customWidth="1"/>
    <col min="5126" max="5126" width="12.109375" style="71" customWidth="1"/>
    <col min="5127" max="5127" width="9.33203125" style="71" customWidth="1"/>
    <col min="5128" max="5128" width="10" style="71" customWidth="1"/>
    <col min="5129" max="5358" width="9" style="71"/>
    <col min="5359" max="5359" width="6.109375" style="71" customWidth="1"/>
    <col min="5360" max="5360" width="13.88671875" style="71" customWidth="1"/>
    <col min="5361" max="5361" width="6.33203125" style="71" customWidth="1"/>
    <col min="5362" max="5362" width="9.88671875" style="71" customWidth="1"/>
    <col min="5363" max="5363" width="9.109375" style="71" customWidth="1"/>
    <col min="5364" max="5364" width="9.33203125" style="71" customWidth="1"/>
    <col min="5365" max="5365" width="10.109375" style="71" customWidth="1"/>
    <col min="5366" max="5367" width="9.5546875" style="71" customWidth="1"/>
    <col min="5368" max="5368" width="6.5546875" style="71" customWidth="1"/>
    <col min="5369" max="5369" width="9.88671875" style="71" customWidth="1"/>
    <col min="5370" max="5370" width="9.44140625" style="71" customWidth="1"/>
    <col min="5371" max="5374" width="7.88671875" style="71" customWidth="1"/>
    <col min="5375" max="5375" width="9.5546875" style="71" customWidth="1"/>
    <col min="5376" max="5379" width="8.5546875" style="71" customWidth="1"/>
    <col min="5380" max="5380" width="8" style="71" customWidth="1"/>
    <col min="5381" max="5381" width="7.88671875" style="71" customWidth="1"/>
    <col min="5382" max="5382" width="12.109375" style="71" customWidth="1"/>
    <col min="5383" max="5383" width="9.33203125" style="71" customWidth="1"/>
    <col min="5384" max="5384" width="10" style="71" customWidth="1"/>
    <col min="5385" max="5614" width="9" style="71"/>
    <col min="5615" max="5615" width="6.109375" style="71" customWidth="1"/>
    <col min="5616" max="5616" width="13.88671875" style="71" customWidth="1"/>
    <col min="5617" max="5617" width="6.33203125" style="71" customWidth="1"/>
    <col min="5618" max="5618" width="9.88671875" style="71" customWidth="1"/>
    <col min="5619" max="5619" width="9.109375" style="71" customWidth="1"/>
    <col min="5620" max="5620" width="9.33203125" style="71" customWidth="1"/>
    <col min="5621" max="5621" width="10.109375" style="71" customWidth="1"/>
    <col min="5622" max="5623" width="9.5546875" style="71" customWidth="1"/>
    <col min="5624" max="5624" width="6.5546875" style="71" customWidth="1"/>
    <col min="5625" max="5625" width="9.88671875" style="71" customWidth="1"/>
    <col min="5626" max="5626" width="9.44140625" style="71" customWidth="1"/>
    <col min="5627" max="5630" width="7.88671875" style="71" customWidth="1"/>
    <col min="5631" max="5631" width="9.5546875" style="71" customWidth="1"/>
    <col min="5632" max="5635" width="8.5546875" style="71" customWidth="1"/>
    <col min="5636" max="5636" width="8" style="71" customWidth="1"/>
    <col min="5637" max="5637" width="7.88671875" style="71" customWidth="1"/>
    <col min="5638" max="5638" width="12.109375" style="71" customWidth="1"/>
    <col min="5639" max="5639" width="9.33203125" style="71" customWidth="1"/>
    <col min="5640" max="5640" width="10" style="71" customWidth="1"/>
    <col min="5641" max="5870" width="9" style="71"/>
    <col min="5871" max="5871" width="6.109375" style="71" customWidth="1"/>
    <col min="5872" max="5872" width="13.88671875" style="71" customWidth="1"/>
    <col min="5873" max="5873" width="6.33203125" style="71" customWidth="1"/>
    <col min="5874" max="5874" width="9.88671875" style="71" customWidth="1"/>
    <col min="5875" max="5875" width="9.109375" style="71" customWidth="1"/>
    <col min="5876" max="5876" width="9.33203125" style="71" customWidth="1"/>
    <col min="5877" max="5877" width="10.109375" style="71" customWidth="1"/>
    <col min="5878" max="5879" width="9.5546875" style="71" customWidth="1"/>
    <col min="5880" max="5880" width="6.5546875" style="71" customWidth="1"/>
    <col min="5881" max="5881" width="9.88671875" style="71" customWidth="1"/>
    <col min="5882" max="5882" width="9.44140625" style="71" customWidth="1"/>
    <col min="5883" max="5886" width="7.88671875" style="71" customWidth="1"/>
    <col min="5887" max="5887" width="9.5546875" style="71" customWidth="1"/>
    <col min="5888" max="5891" width="8.5546875" style="71" customWidth="1"/>
    <col min="5892" max="5892" width="8" style="71" customWidth="1"/>
    <col min="5893" max="5893" width="7.88671875" style="71" customWidth="1"/>
    <col min="5894" max="5894" width="12.109375" style="71" customWidth="1"/>
    <col min="5895" max="5895" width="9.33203125" style="71" customWidth="1"/>
    <col min="5896" max="5896" width="10" style="71" customWidth="1"/>
    <col min="5897" max="6126" width="9" style="71"/>
    <col min="6127" max="6127" width="6.109375" style="71" customWidth="1"/>
    <col min="6128" max="6128" width="13.88671875" style="71" customWidth="1"/>
    <col min="6129" max="6129" width="6.33203125" style="71" customWidth="1"/>
    <col min="6130" max="6130" width="9.88671875" style="71" customWidth="1"/>
    <col min="6131" max="6131" width="9.109375" style="71" customWidth="1"/>
    <col min="6132" max="6132" width="9.33203125" style="71" customWidth="1"/>
    <col min="6133" max="6133" width="10.109375" style="71" customWidth="1"/>
    <col min="6134" max="6135" width="9.5546875" style="71" customWidth="1"/>
    <col min="6136" max="6136" width="6.5546875" style="71" customWidth="1"/>
    <col min="6137" max="6137" width="9.88671875" style="71" customWidth="1"/>
    <col min="6138" max="6138" width="9.44140625" style="71" customWidth="1"/>
    <col min="6139" max="6142" width="7.88671875" style="71" customWidth="1"/>
    <col min="6143" max="6143" width="9.5546875" style="71" customWidth="1"/>
    <col min="6144" max="6147" width="8.5546875" style="71" customWidth="1"/>
    <col min="6148" max="6148" width="8" style="71" customWidth="1"/>
    <col min="6149" max="6149" width="7.88671875" style="71" customWidth="1"/>
    <col min="6150" max="6150" width="12.109375" style="71" customWidth="1"/>
    <col min="6151" max="6151" width="9.33203125" style="71" customWidth="1"/>
    <col min="6152" max="6152" width="10" style="71" customWidth="1"/>
    <col min="6153" max="6382" width="9" style="71"/>
    <col min="6383" max="6383" width="6.109375" style="71" customWidth="1"/>
    <col min="6384" max="6384" width="13.88671875" style="71" customWidth="1"/>
    <col min="6385" max="6385" width="6.33203125" style="71" customWidth="1"/>
    <col min="6386" max="6386" width="9.88671875" style="71" customWidth="1"/>
    <col min="6387" max="6387" width="9.109375" style="71" customWidth="1"/>
    <col min="6388" max="6388" width="9.33203125" style="71" customWidth="1"/>
    <col min="6389" max="6389" width="10.109375" style="71" customWidth="1"/>
    <col min="6390" max="6391" width="9.5546875" style="71" customWidth="1"/>
    <col min="6392" max="6392" width="6.5546875" style="71" customWidth="1"/>
    <col min="6393" max="6393" width="9.88671875" style="71" customWidth="1"/>
    <col min="6394" max="6394" width="9.44140625" style="71" customWidth="1"/>
    <col min="6395" max="6398" width="7.88671875" style="71" customWidth="1"/>
    <col min="6399" max="6399" width="9.5546875" style="71" customWidth="1"/>
    <col min="6400" max="6403" width="8.5546875" style="71" customWidth="1"/>
    <col min="6404" max="6404" width="8" style="71" customWidth="1"/>
    <col min="6405" max="6405" width="7.88671875" style="71" customWidth="1"/>
    <col min="6406" max="6406" width="12.109375" style="71" customWidth="1"/>
    <col min="6407" max="6407" width="9.33203125" style="71" customWidth="1"/>
    <col min="6408" max="6408" width="10" style="71" customWidth="1"/>
    <col min="6409" max="6638" width="9" style="71"/>
    <col min="6639" max="6639" width="6.109375" style="71" customWidth="1"/>
    <col min="6640" max="6640" width="13.88671875" style="71" customWidth="1"/>
    <col min="6641" max="6641" width="6.33203125" style="71" customWidth="1"/>
    <col min="6642" max="6642" width="9.88671875" style="71" customWidth="1"/>
    <col min="6643" max="6643" width="9.109375" style="71" customWidth="1"/>
    <col min="6644" max="6644" width="9.33203125" style="71" customWidth="1"/>
    <col min="6645" max="6645" width="10.109375" style="71" customWidth="1"/>
    <col min="6646" max="6647" width="9.5546875" style="71" customWidth="1"/>
    <col min="6648" max="6648" width="6.5546875" style="71" customWidth="1"/>
    <col min="6649" max="6649" width="9.88671875" style="71" customWidth="1"/>
    <col min="6650" max="6650" width="9.44140625" style="71" customWidth="1"/>
    <col min="6651" max="6654" width="7.88671875" style="71" customWidth="1"/>
    <col min="6655" max="6655" width="9.5546875" style="71" customWidth="1"/>
    <col min="6656" max="6659" width="8.5546875" style="71" customWidth="1"/>
    <col min="6660" max="6660" width="8" style="71" customWidth="1"/>
    <col min="6661" max="6661" width="7.88671875" style="71" customWidth="1"/>
    <col min="6662" max="6662" width="12.109375" style="71" customWidth="1"/>
    <col min="6663" max="6663" width="9.33203125" style="71" customWidth="1"/>
    <col min="6664" max="6664" width="10" style="71" customWidth="1"/>
    <col min="6665" max="6894" width="9" style="71"/>
    <col min="6895" max="6895" width="6.109375" style="71" customWidth="1"/>
    <col min="6896" max="6896" width="13.88671875" style="71" customWidth="1"/>
    <col min="6897" max="6897" width="6.33203125" style="71" customWidth="1"/>
    <col min="6898" max="6898" width="9.88671875" style="71" customWidth="1"/>
    <col min="6899" max="6899" width="9.109375" style="71" customWidth="1"/>
    <col min="6900" max="6900" width="9.33203125" style="71" customWidth="1"/>
    <col min="6901" max="6901" width="10.109375" style="71" customWidth="1"/>
    <col min="6902" max="6903" width="9.5546875" style="71" customWidth="1"/>
    <col min="6904" max="6904" width="6.5546875" style="71" customWidth="1"/>
    <col min="6905" max="6905" width="9.88671875" style="71" customWidth="1"/>
    <col min="6906" max="6906" width="9.44140625" style="71" customWidth="1"/>
    <col min="6907" max="6910" width="7.88671875" style="71" customWidth="1"/>
    <col min="6911" max="6911" width="9.5546875" style="71" customWidth="1"/>
    <col min="6912" max="6915" width="8.5546875" style="71" customWidth="1"/>
    <col min="6916" max="6916" width="8" style="71" customWidth="1"/>
    <col min="6917" max="6917" width="7.88671875" style="71" customWidth="1"/>
    <col min="6918" max="6918" width="12.109375" style="71" customWidth="1"/>
    <col min="6919" max="6919" width="9.33203125" style="71" customWidth="1"/>
    <col min="6920" max="6920" width="10" style="71" customWidth="1"/>
    <col min="6921" max="7150" width="9" style="71"/>
    <col min="7151" max="7151" width="6.109375" style="71" customWidth="1"/>
    <col min="7152" max="7152" width="13.88671875" style="71" customWidth="1"/>
    <col min="7153" max="7153" width="6.33203125" style="71" customWidth="1"/>
    <col min="7154" max="7154" width="9.88671875" style="71" customWidth="1"/>
    <col min="7155" max="7155" width="9.109375" style="71" customWidth="1"/>
    <col min="7156" max="7156" width="9.33203125" style="71" customWidth="1"/>
    <col min="7157" max="7157" width="10.109375" style="71" customWidth="1"/>
    <col min="7158" max="7159" width="9.5546875" style="71" customWidth="1"/>
    <col min="7160" max="7160" width="6.5546875" style="71" customWidth="1"/>
    <col min="7161" max="7161" width="9.88671875" style="71" customWidth="1"/>
    <col min="7162" max="7162" width="9.44140625" style="71" customWidth="1"/>
    <col min="7163" max="7166" width="7.88671875" style="71" customWidth="1"/>
    <col min="7167" max="7167" width="9.5546875" style="71" customWidth="1"/>
    <col min="7168" max="7171" width="8.5546875" style="71" customWidth="1"/>
    <col min="7172" max="7172" width="8" style="71" customWidth="1"/>
    <col min="7173" max="7173" width="7.88671875" style="71" customWidth="1"/>
    <col min="7174" max="7174" width="12.109375" style="71" customWidth="1"/>
    <col min="7175" max="7175" width="9.33203125" style="71" customWidth="1"/>
    <col min="7176" max="7176" width="10" style="71" customWidth="1"/>
    <col min="7177" max="7406" width="9" style="71"/>
    <col min="7407" max="7407" width="6.109375" style="71" customWidth="1"/>
    <col min="7408" max="7408" width="13.88671875" style="71" customWidth="1"/>
    <col min="7409" max="7409" width="6.33203125" style="71" customWidth="1"/>
    <col min="7410" max="7410" width="9.88671875" style="71" customWidth="1"/>
    <col min="7411" max="7411" width="9.109375" style="71" customWidth="1"/>
    <col min="7412" max="7412" width="9.33203125" style="71" customWidth="1"/>
    <col min="7413" max="7413" width="10.109375" style="71" customWidth="1"/>
    <col min="7414" max="7415" width="9.5546875" style="71" customWidth="1"/>
    <col min="7416" max="7416" width="6.5546875" style="71" customWidth="1"/>
    <col min="7417" max="7417" width="9.88671875" style="71" customWidth="1"/>
    <col min="7418" max="7418" width="9.44140625" style="71" customWidth="1"/>
    <col min="7419" max="7422" width="7.88671875" style="71" customWidth="1"/>
    <col min="7423" max="7423" width="9.5546875" style="71" customWidth="1"/>
    <col min="7424" max="7427" width="8.5546875" style="71" customWidth="1"/>
    <col min="7428" max="7428" width="8" style="71" customWidth="1"/>
    <col min="7429" max="7429" width="7.88671875" style="71" customWidth="1"/>
    <col min="7430" max="7430" width="12.109375" style="71" customWidth="1"/>
    <col min="7431" max="7431" width="9.33203125" style="71" customWidth="1"/>
    <col min="7432" max="7432" width="10" style="71" customWidth="1"/>
    <col min="7433" max="7662" width="9" style="71"/>
    <col min="7663" max="7663" width="6.109375" style="71" customWidth="1"/>
    <col min="7664" max="7664" width="13.88671875" style="71" customWidth="1"/>
    <col min="7665" max="7665" width="6.33203125" style="71" customWidth="1"/>
    <col min="7666" max="7666" width="9.88671875" style="71" customWidth="1"/>
    <col min="7667" max="7667" width="9.109375" style="71" customWidth="1"/>
    <col min="7668" max="7668" width="9.33203125" style="71" customWidth="1"/>
    <col min="7669" max="7669" width="10.109375" style="71" customWidth="1"/>
    <col min="7670" max="7671" width="9.5546875" style="71" customWidth="1"/>
    <col min="7672" max="7672" width="6.5546875" style="71" customWidth="1"/>
    <col min="7673" max="7673" width="9.88671875" style="71" customWidth="1"/>
    <col min="7674" max="7674" width="9.44140625" style="71" customWidth="1"/>
    <col min="7675" max="7678" width="7.88671875" style="71" customWidth="1"/>
    <col min="7679" max="7679" width="9.5546875" style="71" customWidth="1"/>
    <col min="7680" max="7683" width="8.5546875" style="71" customWidth="1"/>
    <col min="7684" max="7684" width="8" style="71" customWidth="1"/>
    <col min="7685" max="7685" width="7.88671875" style="71" customWidth="1"/>
    <col min="7686" max="7686" width="12.109375" style="71" customWidth="1"/>
    <col min="7687" max="7687" width="9.33203125" style="71" customWidth="1"/>
    <col min="7688" max="7688" width="10" style="71" customWidth="1"/>
    <col min="7689" max="7918" width="9" style="71"/>
    <col min="7919" max="7919" width="6.109375" style="71" customWidth="1"/>
    <col min="7920" max="7920" width="13.88671875" style="71" customWidth="1"/>
    <col min="7921" max="7921" width="6.33203125" style="71" customWidth="1"/>
    <col min="7922" max="7922" width="9.88671875" style="71" customWidth="1"/>
    <col min="7923" max="7923" width="9.109375" style="71" customWidth="1"/>
    <col min="7924" max="7924" width="9.33203125" style="71" customWidth="1"/>
    <col min="7925" max="7925" width="10.109375" style="71" customWidth="1"/>
    <col min="7926" max="7927" width="9.5546875" style="71" customWidth="1"/>
    <col min="7928" max="7928" width="6.5546875" style="71" customWidth="1"/>
    <col min="7929" max="7929" width="9.88671875" style="71" customWidth="1"/>
    <col min="7930" max="7930" width="9.44140625" style="71" customWidth="1"/>
    <col min="7931" max="7934" width="7.88671875" style="71" customWidth="1"/>
    <col min="7935" max="7935" width="9.5546875" style="71" customWidth="1"/>
    <col min="7936" max="7939" width="8.5546875" style="71" customWidth="1"/>
    <col min="7940" max="7940" width="8" style="71" customWidth="1"/>
    <col min="7941" max="7941" width="7.88671875" style="71" customWidth="1"/>
    <col min="7942" max="7942" width="12.109375" style="71" customWidth="1"/>
    <col min="7943" max="7943" width="9.33203125" style="71" customWidth="1"/>
    <col min="7944" max="7944" width="10" style="71" customWidth="1"/>
    <col min="7945" max="8174" width="9" style="71"/>
    <col min="8175" max="8175" width="6.109375" style="71" customWidth="1"/>
    <col min="8176" max="8176" width="13.88671875" style="71" customWidth="1"/>
    <col min="8177" max="8177" width="6.33203125" style="71" customWidth="1"/>
    <col min="8178" max="8178" width="9.88671875" style="71" customWidth="1"/>
    <col min="8179" max="8179" width="9.109375" style="71" customWidth="1"/>
    <col min="8180" max="8180" width="9.33203125" style="71" customWidth="1"/>
    <col min="8181" max="8181" width="10.109375" style="71" customWidth="1"/>
    <col min="8182" max="8183" width="9.5546875" style="71" customWidth="1"/>
    <col min="8184" max="8184" width="6.5546875" style="71" customWidth="1"/>
    <col min="8185" max="8185" width="9.88671875" style="71" customWidth="1"/>
    <col min="8186" max="8186" width="9.44140625" style="71" customWidth="1"/>
    <col min="8187" max="8190" width="7.88671875" style="71" customWidth="1"/>
    <col min="8191" max="8191" width="9.5546875" style="71" customWidth="1"/>
    <col min="8192" max="8195" width="8.5546875" style="71" customWidth="1"/>
    <col min="8196" max="8196" width="8" style="71" customWidth="1"/>
    <col min="8197" max="8197" width="7.88671875" style="71" customWidth="1"/>
    <col min="8198" max="8198" width="12.109375" style="71" customWidth="1"/>
    <col min="8199" max="8199" width="9.33203125" style="71" customWidth="1"/>
    <col min="8200" max="8200" width="10" style="71" customWidth="1"/>
    <col min="8201" max="8430" width="9" style="71"/>
    <col min="8431" max="8431" width="6.109375" style="71" customWidth="1"/>
    <col min="8432" max="8432" width="13.88671875" style="71" customWidth="1"/>
    <col min="8433" max="8433" width="6.33203125" style="71" customWidth="1"/>
    <col min="8434" max="8434" width="9.88671875" style="71" customWidth="1"/>
    <col min="8435" max="8435" width="9.109375" style="71" customWidth="1"/>
    <col min="8436" max="8436" width="9.33203125" style="71" customWidth="1"/>
    <col min="8437" max="8437" width="10.109375" style="71" customWidth="1"/>
    <col min="8438" max="8439" width="9.5546875" style="71" customWidth="1"/>
    <col min="8440" max="8440" width="6.5546875" style="71" customWidth="1"/>
    <col min="8441" max="8441" width="9.88671875" style="71" customWidth="1"/>
    <col min="8442" max="8442" width="9.44140625" style="71" customWidth="1"/>
    <col min="8443" max="8446" width="7.88671875" style="71" customWidth="1"/>
    <col min="8447" max="8447" width="9.5546875" style="71" customWidth="1"/>
    <col min="8448" max="8451" width="8.5546875" style="71" customWidth="1"/>
    <col min="8452" max="8452" width="8" style="71" customWidth="1"/>
    <col min="8453" max="8453" width="7.88671875" style="71" customWidth="1"/>
    <col min="8454" max="8454" width="12.109375" style="71" customWidth="1"/>
    <col min="8455" max="8455" width="9.33203125" style="71" customWidth="1"/>
    <col min="8456" max="8456" width="10" style="71" customWidth="1"/>
    <col min="8457" max="8686" width="9" style="71"/>
    <col min="8687" max="8687" width="6.109375" style="71" customWidth="1"/>
    <col min="8688" max="8688" width="13.88671875" style="71" customWidth="1"/>
    <col min="8689" max="8689" width="6.33203125" style="71" customWidth="1"/>
    <col min="8690" max="8690" width="9.88671875" style="71" customWidth="1"/>
    <col min="8691" max="8691" width="9.109375" style="71" customWidth="1"/>
    <col min="8692" max="8692" width="9.33203125" style="71" customWidth="1"/>
    <col min="8693" max="8693" width="10.109375" style="71" customWidth="1"/>
    <col min="8694" max="8695" width="9.5546875" style="71" customWidth="1"/>
    <col min="8696" max="8696" width="6.5546875" style="71" customWidth="1"/>
    <col min="8697" max="8697" width="9.88671875" style="71" customWidth="1"/>
    <col min="8698" max="8698" width="9.44140625" style="71" customWidth="1"/>
    <col min="8699" max="8702" width="7.88671875" style="71" customWidth="1"/>
    <col min="8703" max="8703" width="9.5546875" style="71" customWidth="1"/>
    <col min="8704" max="8707" width="8.5546875" style="71" customWidth="1"/>
    <col min="8708" max="8708" width="8" style="71" customWidth="1"/>
    <col min="8709" max="8709" width="7.88671875" style="71" customWidth="1"/>
    <col min="8710" max="8710" width="12.109375" style="71" customWidth="1"/>
    <col min="8711" max="8711" width="9.33203125" style="71" customWidth="1"/>
    <col min="8712" max="8712" width="10" style="71" customWidth="1"/>
    <col min="8713" max="8942" width="9" style="71"/>
    <col min="8943" max="8943" width="6.109375" style="71" customWidth="1"/>
    <col min="8944" max="8944" width="13.88671875" style="71" customWidth="1"/>
    <col min="8945" max="8945" width="6.33203125" style="71" customWidth="1"/>
    <col min="8946" max="8946" width="9.88671875" style="71" customWidth="1"/>
    <col min="8947" max="8947" width="9.109375" style="71" customWidth="1"/>
    <col min="8948" max="8948" width="9.33203125" style="71" customWidth="1"/>
    <col min="8949" max="8949" width="10.109375" style="71" customWidth="1"/>
    <col min="8950" max="8951" width="9.5546875" style="71" customWidth="1"/>
    <col min="8952" max="8952" width="6.5546875" style="71" customWidth="1"/>
    <col min="8953" max="8953" width="9.88671875" style="71" customWidth="1"/>
    <col min="8954" max="8954" width="9.44140625" style="71" customWidth="1"/>
    <col min="8955" max="8958" width="7.88671875" style="71" customWidth="1"/>
    <col min="8959" max="8959" width="9.5546875" style="71" customWidth="1"/>
    <col min="8960" max="8963" width="8.5546875" style="71" customWidth="1"/>
    <col min="8964" max="8964" width="8" style="71" customWidth="1"/>
    <col min="8965" max="8965" width="7.88671875" style="71" customWidth="1"/>
    <col min="8966" max="8966" width="12.109375" style="71" customWidth="1"/>
    <col min="8967" max="8967" width="9.33203125" style="71" customWidth="1"/>
    <col min="8968" max="8968" width="10" style="71" customWidth="1"/>
    <col min="8969" max="9198" width="9" style="71"/>
    <col min="9199" max="9199" width="6.109375" style="71" customWidth="1"/>
    <col min="9200" max="9200" width="13.88671875" style="71" customWidth="1"/>
    <col min="9201" max="9201" width="6.33203125" style="71" customWidth="1"/>
    <col min="9202" max="9202" width="9.88671875" style="71" customWidth="1"/>
    <col min="9203" max="9203" width="9.109375" style="71" customWidth="1"/>
    <col min="9204" max="9204" width="9.33203125" style="71" customWidth="1"/>
    <col min="9205" max="9205" width="10.109375" style="71" customWidth="1"/>
    <col min="9206" max="9207" width="9.5546875" style="71" customWidth="1"/>
    <col min="9208" max="9208" width="6.5546875" style="71" customWidth="1"/>
    <col min="9209" max="9209" width="9.88671875" style="71" customWidth="1"/>
    <col min="9210" max="9210" width="9.44140625" style="71" customWidth="1"/>
    <col min="9211" max="9214" width="7.88671875" style="71" customWidth="1"/>
    <col min="9215" max="9215" width="9.5546875" style="71" customWidth="1"/>
    <col min="9216" max="9219" width="8.5546875" style="71" customWidth="1"/>
    <col min="9220" max="9220" width="8" style="71" customWidth="1"/>
    <col min="9221" max="9221" width="7.88671875" style="71" customWidth="1"/>
    <col min="9222" max="9222" width="12.109375" style="71" customWidth="1"/>
    <col min="9223" max="9223" width="9.33203125" style="71" customWidth="1"/>
    <col min="9224" max="9224" width="10" style="71" customWidth="1"/>
    <col min="9225" max="9454" width="9" style="71"/>
    <col min="9455" max="9455" width="6.109375" style="71" customWidth="1"/>
    <col min="9456" max="9456" width="13.88671875" style="71" customWidth="1"/>
    <col min="9457" max="9457" width="6.33203125" style="71" customWidth="1"/>
    <col min="9458" max="9458" width="9.88671875" style="71" customWidth="1"/>
    <col min="9459" max="9459" width="9.109375" style="71" customWidth="1"/>
    <col min="9460" max="9460" width="9.33203125" style="71" customWidth="1"/>
    <col min="9461" max="9461" width="10.109375" style="71" customWidth="1"/>
    <col min="9462" max="9463" width="9.5546875" style="71" customWidth="1"/>
    <col min="9464" max="9464" width="6.5546875" style="71" customWidth="1"/>
    <col min="9465" max="9465" width="9.88671875" style="71" customWidth="1"/>
    <col min="9466" max="9466" width="9.44140625" style="71" customWidth="1"/>
    <col min="9467" max="9470" width="7.88671875" style="71" customWidth="1"/>
    <col min="9471" max="9471" width="9.5546875" style="71" customWidth="1"/>
    <col min="9472" max="9475" width="8.5546875" style="71" customWidth="1"/>
    <col min="9476" max="9476" width="8" style="71" customWidth="1"/>
    <col min="9477" max="9477" width="7.88671875" style="71" customWidth="1"/>
    <col min="9478" max="9478" width="12.109375" style="71" customWidth="1"/>
    <col min="9479" max="9479" width="9.33203125" style="71" customWidth="1"/>
    <col min="9480" max="9480" width="10" style="71" customWidth="1"/>
    <col min="9481" max="9710" width="9" style="71"/>
    <col min="9711" max="9711" width="6.109375" style="71" customWidth="1"/>
    <col min="9712" max="9712" width="13.88671875" style="71" customWidth="1"/>
    <col min="9713" max="9713" width="6.33203125" style="71" customWidth="1"/>
    <col min="9714" max="9714" width="9.88671875" style="71" customWidth="1"/>
    <col min="9715" max="9715" width="9.109375" style="71" customWidth="1"/>
    <col min="9716" max="9716" width="9.33203125" style="71" customWidth="1"/>
    <col min="9717" max="9717" width="10.109375" style="71" customWidth="1"/>
    <col min="9718" max="9719" width="9.5546875" style="71" customWidth="1"/>
    <col min="9720" max="9720" width="6.5546875" style="71" customWidth="1"/>
    <col min="9721" max="9721" width="9.88671875" style="71" customWidth="1"/>
    <col min="9722" max="9722" width="9.44140625" style="71" customWidth="1"/>
    <col min="9723" max="9726" width="7.88671875" style="71" customWidth="1"/>
    <col min="9727" max="9727" width="9.5546875" style="71" customWidth="1"/>
    <col min="9728" max="9731" width="8.5546875" style="71" customWidth="1"/>
    <col min="9732" max="9732" width="8" style="71" customWidth="1"/>
    <col min="9733" max="9733" width="7.88671875" style="71" customWidth="1"/>
    <col min="9734" max="9734" width="12.109375" style="71" customWidth="1"/>
    <col min="9735" max="9735" width="9.33203125" style="71" customWidth="1"/>
    <col min="9736" max="9736" width="10" style="71" customWidth="1"/>
    <col min="9737" max="9966" width="9" style="71"/>
    <col min="9967" max="9967" width="6.109375" style="71" customWidth="1"/>
    <col min="9968" max="9968" width="13.88671875" style="71" customWidth="1"/>
    <col min="9969" max="9969" width="6.33203125" style="71" customWidth="1"/>
    <col min="9970" max="9970" width="9.88671875" style="71" customWidth="1"/>
    <col min="9971" max="9971" width="9.109375" style="71" customWidth="1"/>
    <col min="9972" max="9972" width="9.33203125" style="71" customWidth="1"/>
    <col min="9973" max="9973" width="10.109375" style="71" customWidth="1"/>
    <col min="9974" max="9975" width="9.5546875" style="71" customWidth="1"/>
    <col min="9976" max="9976" width="6.5546875" style="71" customWidth="1"/>
    <col min="9977" max="9977" width="9.88671875" style="71" customWidth="1"/>
    <col min="9978" max="9978" width="9.44140625" style="71" customWidth="1"/>
    <col min="9979" max="9982" width="7.88671875" style="71" customWidth="1"/>
    <col min="9983" max="9983" width="9.5546875" style="71" customWidth="1"/>
    <col min="9984" max="9987" width="8.5546875" style="71" customWidth="1"/>
    <col min="9988" max="9988" width="8" style="71" customWidth="1"/>
    <col min="9989" max="9989" width="7.88671875" style="71" customWidth="1"/>
    <col min="9990" max="9990" width="12.109375" style="71" customWidth="1"/>
    <col min="9991" max="9991" width="9.33203125" style="71" customWidth="1"/>
    <col min="9992" max="9992" width="10" style="71" customWidth="1"/>
    <col min="9993" max="10222" width="9" style="71"/>
    <col min="10223" max="10223" width="6.109375" style="71" customWidth="1"/>
    <col min="10224" max="10224" width="13.88671875" style="71" customWidth="1"/>
    <col min="10225" max="10225" width="6.33203125" style="71" customWidth="1"/>
    <col min="10226" max="10226" width="9.88671875" style="71" customWidth="1"/>
    <col min="10227" max="10227" width="9.109375" style="71" customWidth="1"/>
    <col min="10228" max="10228" width="9.33203125" style="71" customWidth="1"/>
    <col min="10229" max="10229" width="10.109375" style="71" customWidth="1"/>
    <col min="10230" max="10231" width="9.5546875" style="71" customWidth="1"/>
    <col min="10232" max="10232" width="6.5546875" style="71" customWidth="1"/>
    <col min="10233" max="10233" width="9.88671875" style="71" customWidth="1"/>
    <col min="10234" max="10234" width="9.44140625" style="71" customWidth="1"/>
    <col min="10235" max="10238" width="7.88671875" style="71" customWidth="1"/>
    <col min="10239" max="10239" width="9.5546875" style="71" customWidth="1"/>
    <col min="10240" max="10243" width="8.5546875" style="71" customWidth="1"/>
    <col min="10244" max="10244" width="8" style="71" customWidth="1"/>
    <col min="10245" max="10245" width="7.88671875" style="71" customWidth="1"/>
    <col min="10246" max="10246" width="12.109375" style="71" customWidth="1"/>
    <col min="10247" max="10247" width="9.33203125" style="71" customWidth="1"/>
    <col min="10248" max="10248" width="10" style="71" customWidth="1"/>
    <col min="10249" max="10478" width="9" style="71"/>
    <col min="10479" max="10479" width="6.109375" style="71" customWidth="1"/>
    <col min="10480" max="10480" width="13.88671875" style="71" customWidth="1"/>
    <col min="10481" max="10481" width="6.33203125" style="71" customWidth="1"/>
    <col min="10482" max="10482" width="9.88671875" style="71" customWidth="1"/>
    <col min="10483" max="10483" width="9.109375" style="71" customWidth="1"/>
    <col min="10484" max="10484" width="9.33203125" style="71" customWidth="1"/>
    <col min="10485" max="10485" width="10.109375" style="71" customWidth="1"/>
    <col min="10486" max="10487" width="9.5546875" style="71" customWidth="1"/>
    <col min="10488" max="10488" width="6.5546875" style="71" customWidth="1"/>
    <col min="10489" max="10489" width="9.88671875" style="71" customWidth="1"/>
    <col min="10490" max="10490" width="9.44140625" style="71" customWidth="1"/>
    <col min="10491" max="10494" width="7.88671875" style="71" customWidth="1"/>
    <col min="10495" max="10495" width="9.5546875" style="71" customWidth="1"/>
    <col min="10496" max="10499" width="8.5546875" style="71" customWidth="1"/>
    <col min="10500" max="10500" width="8" style="71" customWidth="1"/>
    <col min="10501" max="10501" width="7.88671875" style="71" customWidth="1"/>
    <col min="10502" max="10502" width="12.109375" style="71" customWidth="1"/>
    <col min="10503" max="10503" width="9.33203125" style="71" customWidth="1"/>
    <col min="10504" max="10504" width="10" style="71" customWidth="1"/>
    <col min="10505" max="10734" width="9" style="71"/>
    <col min="10735" max="10735" width="6.109375" style="71" customWidth="1"/>
    <col min="10736" max="10736" width="13.88671875" style="71" customWidth="1"/>
    <col min="10737" max="10737" width="6.33203125" style="71" customWidth="1"/>
    <col min="10738" max="10738" width="9.88671875" style="71" customWidth="1"/>
    <col min="10739" max="10739" width="9.109375" style="71" customWidth="1"/>
    <col min="10740" max="10740" width="9.33203125" style="71" customWidth="1"/>
    <col min="10741" max="10741" width="10.109375" style="71" customWidth="1"/>
    <col min="10742" max="10743" width="9.5546875" style="71" customWidth="1"/>
    <col min="10744" max="10744" width="6.5546875" style="71" customWidth="1"/>
    <col min="10745" max="10745" width="9.88671875" style="71" customWidth="1"/>
    <col min="10746" max="10746" width="9.44140625" style="71" customWidth="1"/>
    <col min="10747" max="10750" width="7.88671875" style="71" customWidth="1"/>
    <col min="10751" max="10751" width="9.5546875" style="71" customWidth="1"/>
    <col min="10752" max="10755" width="8.5546875" style="71" customWidth="1"/>
    <col min="10756" max="10756" width="8" style="71" customWidth="1"/>
    <col min="10757" max="10757" width="7.88671875" style="71" customWidth="1"/>
    <col min="10758" max="10758" width="12.109375" style="71" customWidth="1"/>
    <col min="10759" max="10759" width="9.33203125" style="71" customWidth="1"/>
    <col min="10760" max="10760" width="10" style="71" customWidth="1"/>
    <col min="10761" max="10990" width="9" style="71"/>
    <col min="10991" max="10991" width="6.109375" style="71" customWidth="1"/>
    <col min="10992" max="10992" width="13.88671875" style="71" customWidth="1"/>
    <col min="10993" max="10993" width="6.33203125" style="71" customWidth="1"/>
    <col min="10994" max="10994" width="9.88671875" style="71" customWidth="1"/>
    <col min="10995" max="10995" width="9.109375" style="71" customWidth="1"/>
    <col min="10996" max="10996" width="9.33203125" style="71" customWidth="1"/>
    <col min="10997" max="10997" width="10.109375" style="71" customWidth="1"/>
    <col min="10998" max="10999" width="9.5546875" style="71" customWidth="1"/>
    <col min="11000" max="11000" width="6.5546875" style="71" customWidth="1"/>
    <col min="11001" max="11001" width="9.88671875" style="71" customWidth="1"/>
    <col min="11002" max="11002" width="9.44140625" style="71" customWidth="1"/>
    <col min="11003" max="11006" width="7.88671875" style="71" customWidth="1"/>
    <col min="11007" max="11007" width="9.5546875" style="71" customWidth="1"/>
    <col min="11008" max="11011" width="8.5546875" style="71" customWidth="1"/>
    <col min="11012" max="11012" width="8" style="71" customWidth="1"/>
    <col min="11013" max="11013" width="7.88671875" style="71" customWidth="1"/>
    <col min="11014" max="11014" width="12.109375" style="71" customWidth="1"/>
    <col min="11015" max="11015" width="9.33203125" style="71" customWidth="1"/>
    <col min="11016" max="11016" width="10" style="71" customWidth="1"/>
    <col min="11017" max="11246" width="9" style="71"/>
    <col min="11247" max="11247" width="6.109375" style="71" customWidth="1"/>
    <col min="11248" max="11248" width="13.88671875" style="71" customWidth="1"/>
    <col min="11249" max="11249" width="6.33203125" style="71" customWidth="1"/>
    <col min="11250" max="11250" width="9.88671875" style="71" customWidth="1"/>
    <col min="11251" max="11251" width="9.109375" style="71" customWidth="1"/>
    <col min="11252" max="11252" width="9.33203125" style="71" customWidth="1"/>
    <col min="11253" max="11253" width="10.109375" style="71" customWidth="1"/>
    <col min="11254" max="11255" width="9.5546875" style="71" customWidth="1"/>
    <col min="11256" max="11256" width="6.5546875" style="71" customWidth="1"/>
    <col min="11257" max="11257" width="9.88671875" style="71" customWidth="1"/>
    <col min="11258" max="11258" width="9.44140625" style="71" customWidth="1"/>
    <col min="11259" max="11262" width="7.88671875" style="71" customWidth="1"/>
    <col min="11263" max="11263" width="9.5546875" style="71" customWidth="1"/>
    <col min="11264" max="11267" width="8.5546875" style="71" customWidth="1"/>
    <col min="11268" max="11268" width="8" style="71" customWidth="1"/>
    <col min="11269" max="11269" width="7.88671875" style="71" customWidth="1"/>
    <col min="11270" max="11270" width="12.109375" style="71" customWidth="1"/>
    <col min="11271" max="11271" width="9.33203125" style="71" customWidth="1"/>
    <col min="11272" max="11272" width="10" style="71" customWidth="1"/>
    <col min="11273" max="11502" width="9" style="71"/>
    <col min="11503" max="11503" width="6.109375" style="71" customWidth="1"/>
    <col min="11504" max="11504" width="13.88671875" style="71" customWidth="1"/>
    <col min="11505" max="11505" width="6.33203125" style="71" customWidth="1"/>
    <col min="11506" max="11506" width="9.88671875" style="71" customWidth="1"/>
    <col min="11507" max="11507" width="9.109375" style="71" customWidth="1"/>
    <col min="11508" max="11508" width="9.33203125" style="71" customWidth="1"/>
    <col min="11509" max="11509" width="10.109375" style="71" customWidth="1"/>
    <col min="11510" max="11511" width="9.5546875" style="71" customWidth="1"/>
    <col min="11512" max="11512" width="6.5546875" style="71" customWidth="1"/>
    <col min="11513" max="11513" width="9.88671875" style="71" customWidth="1"/>
    <col min="11514" max="11514" width="9.44140625" style="71" customWidth="1"/>
    <col min="11515" max="11518" width="7.88671875" style="71" customWidth="1"/>
    <col min="11519" max="11519" width="9.5546875" style="71" customWidth="1"/>
    <col min="11520" max="11523" width="8.5546875" style="71" customWidth="1"/>
    <col min="11524" max="11524" width="8" style="71" customWidth="1"/>
    <col min="11525" max="11525" width="7.88671875" style="71" customWidth="1"/>
    <col min="11526" max="11526" width="12.109375" style="71" customWidth="1"/>
    <col min="11527" max="11527" width="9.33203125" style="71" customWidth="1"/>
    <col min="11528" max="11528" width="10" style="71" customWidth="1"/>
    <col min="11529" max="11758" width="9" style="71"/>
    <col min="11759" max="11759" width="6.109375" style="71" customWidth="1"/>
    <col min="11760" max="11760" width="13.88671875" style="71" customWidth="1"/>
    <col min="11761" max="11761" width="6.33203125" style="71" customWidth="1"/>
    <col min="11762" max="11762" width="9.88671875" style="71" customWidth="1"/>
    <col min="11763" max="11763" width="9.109375" style="71" customWidth="1"/>
    <col min="11764" max="11764" width="9.33203125" style="71" customWidth="1"/>
    <col min="11765" max="11765" width="10.109375" style="71" customWidth="1"/>
    <col min="11766" max="11767" width="9.5546875" style="71" customWidth="1"/>
    <col min="11768" max="11768" width="6.5546875" style="71" customWidth="1"/>
    <col min="11769" max="11769" width="9.88671875" style="71" customWidth="1"/>
    <col min="11770" max="11770" width="9.44140625" style="71" customWidth="1"/>
    <col min="11771" max="11774" width="7.88671875" style="71" customWidth="1"/>
    <col min="11775" max="11775" width="9.5546875" style="71" customWidth="1"/>
    <col min="11776" max="11779" width="8.5546875" style="71" customWidth="1"/>
    <col min="11780" max="11780" width="8" style="71" customWidth="1"/>
    <col min="11781" max="11781" width="7.88671875" style="71" customWidth="1"/>
    <col min="11782" max="11782" width="12.109375" style="71" customWidth="1"/>
    <col min="11783" max="11783" width="9.33203125" style="71" customWidth="1"/>
    <col min="11784" max="11784" width="10" style="71" customWidth="1"/>
    <col min="11785" max="12014" width="9" style="71"/>
    <col min="12015" max="12015" width="6.109375" style="71" customWidth="1"/>
    <col min="12016" max="12016" width="13.88671875" style="71" customWidth="1"/>
    <col min="12017" max="12017" width="6.33203125" style="71" customWidth="1"/>
    <col min="12018" max="12018" width="9.88671875" style="71" customWidth="1"/>
    <col min="12019" max="12019" width="9.109375" style="71" customWidth="1"/>
    <col min="12020" max="12020" width="9.33203125" style="71" customWidth="1"/>
    <col min="12021" max="12021" width="10.109375" style="71" customWidth="1"/>
    <col min="12022" max="12023" width="9.5546875" style="71" customWidth="1"/>
    <col min="12024" max="12024" width="6.5546875" style="71" customWidth="1"/>
    <col min="12025" max="12025" width="9.88671875" style="71" customWidth="1"/>
    <col min="12026" max="12026" width="9.44140625" style="71" customWidth="1"/>
    <col min="12027" max="12030" width="7.88671875" style="71" customWidth="1"/>
    <col min="12031" max="12031" width="9.5546875" style="71" customWidth="1"/>
    <col min="12032" max="12035" width="8.5546875" style="71" customWidth="1"/>
    <col min="12036" max="12036" width="8" style="71" customWidth="1"/>
    <col min="12037" max="12037" width="7.88671875" style="71" customWidth="1"/>
    <col min="12038" max="12038" width="12.109375" style="71" customWidth="1"/>
    <col min="12039" max="12039" width="9.33203125" style="71" customWidth="1"/>
    <col min="12040" max="12040" width="10" style="71" customWidth="1"/>
    <col min="12041" max="12270" width="9" style="71"/>
    <col min="12271" max="12271" width="6.109375" style="71" customWidth="1"/>
    <col min="12272" max="12272" width="13.88671875" style="71" customWidth="1"/>
    <col min="12273" max="12273" width="6.33203125" style="71" customWidth="1"/>
    <col min="12274" max="12274" width="9.88671875" style="71" customWidth="1"/>
    <col min="12275" max="12275" width="9.109375" style="71" customWidth="1"/>
    <col min="12276" max="12276" width="9.33203125" style="71" customWidth="1"/>
    <col min="12277" max="12277" width="10.109375" style="71" customWidth="1"/>
    <col min="12278" max="12279" width="9.5546875" style="71" customWidth="1"/>
    <col min="12280" max="12280" width="6.5546875" style="71" customWidth="1"/>
    <col min="12281" max="12281" width="9.88671875" style="71" customWidth="1"/>
    <col min="12282" max="12282" width="9.44140625" style="71" customWidth="1"/>
    <col min="12283" max="12286" width="7.88671875" style="71" customWidth="1"/>
    <col min="12287" max="12287" width="9.5546875" style="71" customWidth="1"/>
    <col min="12288" max="12291" width="8.5546875" style="71" customWidth="1"/>
    <col min="12292" max="12292" width="8" style="71" customWidth="1"/>
    <col min="12293" max="12293" width="7.88671875" style="71" customWidth="1"/>
    <col min="12294" max="12294" width="12.109375" style="71" customWidth="1"/>
    <col min="12295" max="12295" width="9.33203125" style="71" customWidth="1"/>
    <col min="12296" max="12296" width="10" style="71" customWidth="1"/>
    <col min="12297" max="12526" width="9" style="71"/>
    <col min="12527" max="12527" width="6.109375" style="71" customWidth="1"/>
    <col min="12528" max="12528" width="13.88671875" style="71" customWidth="1"/>
    <col min="12529" max="12529" width="6.33203125" style="71" customWidth="1"/>
    <col min="12530" max="12530" width="9.88671875" style="71" customWidth="1"/>
    <col min="12531" max="12531" width="9.109375" style="71" customWidth="1"/>
    <col min="12532" max="12532" width="9.33203125" style="71" customWidth="1"/>
    <col min="12533" max="12533" width="10.109375" style="71" customWidth="1"/>
    <col min="12534" max="12535" width="9.5546875" style="71" customWidth="1"/>
    <col min="12536" max="12536" width="6.5546875" style="71" customWidth="1"/>
    <col min="12537" max="12537" width="9.88671875" style="71" customWidth="1"/>
    <col min="12538" max="12538" width="9.44140625" style="71" customWidth="1"/>
    <col min="12539" max="12542" width="7.88671875" style="71" customWidth="1"/>
    <col min="12543" max="12543" width="9.5546875" style="71" customWidth="1"/>
    <col min="12544" max="12547" width="8.5546875" style="71" customWidth="1"/>
    <col min="12548" max="12548" width="8" style="71" customWidth="1"/>
    <col min="12549" max="12549" width="7.88671875" style="71" customWidth="1"/>
    <col min="12550" max="12550" width="12.109375" style="71" customWidth="1"/>
    <col min="12551" max="12551" width="9.33203125" style="71" customWidth="1"/>
    <col min="12552" max="12552" width="10" style="71" customWidth="1"/>
    <col min="12553" max="12782" width="9" style="71"/>
    <col min="12783" max="12783" width="6.109375" style="71" customWidth="1"/>
    <col min="12784" max="12784" width="13.88671875" style="71" customWidth="1"/>
    <col min="12785" max="12785" width="6.33203125" style="71" customWidth="1"/>
    <col min="12786" max="12786" width="9.88671875" style="71" customWidth="1"/>
    <col min="12787" max="12787" width="9.109375" style="71" customWidth="1"/>
    <col min="12788" max="12788" width="9.33203125" style="71" customWidth="1"/>
    <col min="12789" max="12789" width="10.109375" style="71" customWidth="1"/>
    <col min="12790" max="12791" width="9.5546875" style="71" customWidth="1"/>
    <col min="12792" max="12792" width="6.5546875" style="71" customWidth="1"/>
    <col min="12793" max="12793" width="9.88671875" style="71" customWidth="1"/>
    <col min="12794" max="12794" width="9.44140625" style="71" customWidth="1"/>
    <col min="12795" max="12798" width="7.88671875" style="71" customWidth="1"/>
    <col min="12799" max="12799" width="9.5546875" style="71" customWidth="1"/>
    <col min="12800" max="12803" width="8.5546875" style="71" customWidth="1"/>
    <col min="12804" max="12804" width="8" style="71" customWidth="1"/>
    <col min="12805" max="12805" width="7.88671875" style="71" customWidth="1"/>
    <col min="12806" max="12806" width="12.109375" style="71" customWidth="1"/>
    <col min="12807" max="12807" width="9.33203125" style="71" customWidth="1"/>
    <col min="12808" max="12808" width="10" style="71" customWidth="1"/>
    <col min="12809" max="13038" width="9" style="71"/>
    <col min="13039" max="13039" width="6.109375" style="71" customWidth="1"/>
    <col min="13040" max="13040" width="13.88671875" style="71" customWidth="1"/>
    <col min="13041" max="13041" width="6.33203125" style="71" customWidth="1"/>
    <col min="13042" max="13042" width="9.88671875" style="71" customWidth="1"/>
    <col min="13043" max="13043" width="9.109375" style="71" customWidth="1"/>
    <col min="13044" max="13044" width="9.33203125" style="71" customWidth="1"/>
    <col min="13045" max="13045" width="10.109375" style="71" customWidth="1"/>
    <col min="13046" max="13047" width="9.5546875" style="71" customWidth="1"/>
    <col min="13048" max="13048" width="6.5546875" style="71" customWidth="1"/>
    <col min="13049" max="13049" width="9.88671875" style="71" customWidth="1"/>
    <col min="13050" max="13050" width="9.44140625" style="71" customWidth="1"/>
    <col min="13051" max="13054" width="7.88671875" style="71" customWidth="1"/>
    <col min="13055" max="13055" width="9.5546875" style="71" customWidth="1"/>
    <col min="13056" max="13059" width="8.5546875" style="71" customWidth="1"/>
    <col min="13060" max="13060" width="8" style="71" customWidth="1"/>
    <col min="13061" max="13061" width="7.88671875" style="71" customWidth="1"/>
    <col min="13062" max="13062" width="12.109375" style="71" customWidth="1"/>
    <col min="13063" max="13063" width="9.33203125" style="71" customWidth="1"/>
    <col min="13064" max="13064" width="10" style="71" customWidth="1"/>
    <col min="13065" max="13294" width="9" style="71"/>
    <col min="13295" max="13295" width="6.109375" style="71" customWidth="1"/>
    <col min="13296" max="13296" width="13.88671875" style="71" customWidth="1"/>
    <col min="13297" max="13297" width="6.33203125" style="71" customWidth="1"/>
    <col min="13298" max="13298" width="9.88671875" style="71" customWidth="1"/>
    <col min="13299" max="13299" width="9.109375" style="71" customWidth="1"/>
    <col min="13300" max="13300" width="9.33203125" style="71" customWidth="1"/>
    <col min="13301" max="13301" width="10.109375" style="71" customWidth="1"/>
    <col min="13302" max="13303" width="9.5546875" style="71" customWidth="1"/>
    <col min="13304" max="13304" width="6.5546875" style="71" customWidth="1"/>
    <col min="13305" max="13305" width="9.88671875" style="71" customWidth="1"/>
    <col min="13306" max="13306" width="9.44140625" style="71" customWidth="1"/>
    <col min="13307" max="13310" width="7.88671875" style="71" customWidth="1"/>
    <col min="13311" max="13311" width="9.5546875" style="71" customWidth="1"/>
    <col min="13312" max="13315" width="8.5546875" style="71" customWidth="1"/>
    <col min="13316" max="13316" width="8" style="71" customWidth="1"/>
    <col min="13317" max="13317" width="7.88671875" style="71" customWidth="1"/>
    <col min="13318" max="13318" width="12.109375" style="71" customWidth="1"/>
    <col min="13319" max="13319" width="9.33203125" style="71" customWidth="1"/>
    <col min="13320" max="13320" width="10" style="71" customWidth="1"/>
    <col min="13321" max="13550" width="9" style="71"/>
    <col min="13551" max="13551" width="6.109375" style="71" customWidth="1"/>
    <col min="13552" max="13552" width="13.88671875" style="71" customWidth="1"/>
    <col min="13553" max="13553" width="6.33203125" style="71" customWidth="1"/>
    <col min="13554" max="13554" width="9.88671875" style="71" customWidth="1"/>
    <col min="13555" max="13555" width="9.109375" style="71" customWidth="1"/>
    <col min="13556" max="13556" width="9.33203125" style="71" customWidth="1"/>
    <col min="13557" max="13557" width="10.109375" style="71" customWidth="1"/>
    <col min="13558" max="13559" width="9.5546875" style="71" customWidth="1"/>
    <col min="13560" max="13560" width="6.5546875" style="71" customWidth="1"/>
    <col min="13561" max="13561" width="9.88671875" style="71" customWidth="1"/>
    <col min="13562" max="13562" width="9.44140625" style="71" customWidth="1"/>
    <col min="13563" max="13566" width="7.88671875" style="71" customWidth="1"/>
    <col min="13567" max="13567" width="9.5546875" style="71" customWidth="1"/>
    <col min="13568" max="13571" width="8.5546875" style="71" customWidth="1"/>
    <col min="13572" max="13572" width="8" style="71" customWidth="1"/>
    <col min="13573" max="13573" width="7.88671875" style="71" customWidth="1"/>
    <col min="13574" max="13574" width="12.109375" style="71" customWidth="1"/>
    <col min="13575" max="13575" width="9.33203125" style="71" customWidth="1"/>
    <col min="13576" max="13576" width="10" style="71" customWidth="1"/>
    <col min="13577" max="13806" width="9" style="71"/>
    <col min="13807" max="13807" width="6.109375" style="71" customWidth="1"/>
    <col min="13808" max="13808" width="13.88671875" style="71" customWidth="1"/>
    <col min="13809" max="13809" width="6.33203125" style="71" customWidth="1"/>
    <col min="13810" max="13810" width="9.88671875" style="71" customWidth="1"/>
    <col min="13811" max="13811" width="9.109375" style="71" customWidth="1"/>
    <col min="13812" max="13812" width="9.33203125" style="71" customWidth="1"/>
    <col min="13813" max="13813" width="10.109375" style="71" customWidth="1"/>
    <col min="13814" max="13815" width="9.5546875" style="71" customWidth="1"/>
    <col min="13816" max="13816" width="6.5546875" style="71" customWidth="1"/>
    <col min="13817" max="13817" width="9.88671875" style="71" customWidth="1"/>
    <col min="13818" max="13818" width="9.44140625" style="71" customWidth="1"/>
    <col min="13819" max="13822" width="7.88671875" style="71" customWidth="1"/>
    <col min="13823" max="13823" width="9.5546875" style="71" customWidth="1"/>
    <col min="13824" max="13827" width="8.5546875" style="71" customWidth="1"/>
    <col min="13828" max="13828" width="8" style="71" customWidth="1"/>
    <col min="13829" max="13829" width="7.88671875" style="71" customWidth="1"/>
    <col min="13830" max="13830" width="12.109375" style="71" customWidth="1"/>
    <col min="13831" max="13831" width="9.33203125" style="71" customWidth="1"/>
    <col min="13832" max="13832" width="10" style="71" customWidth="1"/>
    <col min="13833" max="14062" width="9" style="71"/>
    <col min="14063" max="14063" width="6.109375" style="71" customWidth="1"/>
    <col min="14064" max="14064" width="13.88671875" style="71" customWidth="1"/>
    <col min="14065" max="14065" width="6.33203125" style="71" customWidth="1"/>
    <col min="14066" max="14066" width="9.88671875" style="71" customWidth="1"/>
    <col min="14067" max="14067" width="9.109375" style="71" customWidth="1"/>
    <col min="14068" max="14068" width="9.33203125" style="71" customWidth="1"/>
    <col min="14069" max="14069" width="10.109375" style="71" customWidth="1"/>
    <col min="14070" max="14071" width="9.5546875" style="71" customWidth="1"/>
    <col min="14072" max="14072" width="6.5546875" style="71" customWidth="1"/>
    <col min="14073" max="14073" width="9.88671875" style="71" customWidth="1"/>
    <col min="14074" max="14074" width="9.44140625" style="71" customWidth="1"/>
    <col min="14075" max="14078" width="7.88671875" style="71" customWidth="1"/>
    <col min="14079" max="14079" width="9.5546875" style="71" customWidth="1"/>
    <col min="14080" max="14083" width="8.5546875" style="71" customWidth="1"/>
    <col min="14084" max="14084" width="8" style="71" customWidth="1"/>
    <col min="14085" max="14085" width="7.88671875" style="71" customWidth="1"/>
    <col min="14086" max="14086" width="12.109375" style="71" customWidth="1"/>
    <col min="14087" max="14087" width="9.33203125" style="71" customWidth="1"/>
    <col min="14088" max="14088" width="10" style="71" customWidth="1"/>
    <col min="14089" max="14318" width="9" style="71"/>
    <col min="14319" max="14319" width="6.109375" style="71" customWidth="1"/>
    <col min="14320" max="14320" width="13.88671875" style="71" customWidth="1"/>
    <col min="14321" max="14321" width="6.33203125" style="71" customWidth="1"/>
    <col min="14322" max="14322" width="9.88671875" style="71" customWidth="1"/>
    <col min="14323" max="14323" width="9.109375" style="71" customWidth="1"/>
    <col min="14324" max="14324" width="9.33203125" style="71" customWidth="1"/>
    <col min="14325" max="14325" width="10.109375" style="71" customWidth="1"/>
    <col min="14326" max="14327" width="9.5546875" style="71" customWidth="1"/>
    <col min="14328" max="14328" width="6.5546875" style="71" customWidth="1"/>
    <col min="14329" max="14329" width="9.88671875" style="71" customWidth="1"/>
    <col min="14330" max="14330" width="9.44140625" style="71" customWidth="1"/>
    <col min="14331" max="14334" width="7.88671875" style="71" customWidth="1"/>
    <col min="14335" max="14335" width="9.5546875" style="71" customWidth="1"/>
    <col min="14336" max="14339" width="8.5546875" style="71" customWidth="1"/>
    <col min="14340" max="14340" width="8" style="71" customWidth="1"/>
    <col min="14341" max="14341" width="7.88671875" style="71" customWidth="1"/>
    <col min="14342" max="14342" width="12.109375" style="71" customWidth="1"/>
    <col min="14343" max="14343" width="9.33203125" style="71" customWidth="1"/>
    <col min="14344" max="14344" width="10" style="71" customWidth="1"/>
    <col min="14345" max="14574" width="9" style="71"/>
    <col min="14575" max="14575" width="6.109375" style="71" customWidth="1"/>
    <col min="14576" max="14576" width="13.88671875" style="71" customWidth="1"/>
    <col min="14577" max="14577" width="6.33203125" style="71" customWidth="1"/>
    <col min="14578" max="14578" width="9.88671875" style="71" customWidth="1"/>
    <col min="14579" max="14579" width="9.109375" style="71" customWidth="1"/>
    <col min="14580" max="14580" width="9.33203125" style="71" customWidth="1"/>
    <col min="14581" max="14581" width="10.109375" style="71" customWidth="1"/>
    <col min="14582" max="14583" width="9.5546875" style="71" customWidth="1"/>
    <col min="14584" max="14584" width="6.5546875" style="71" customWidth="1"/>
    <col min="14585" max="14585" width="9.88671875" style="71" customWidth="1"/>
    <col min="14586" max="14586" width="9.44140625" style="71" customWidth="1"/>
    <col min="14587" max="14590" width="7.88671875" style="71" customWidth="1"/>
    <col min="14591" max="14591" width="9.5546875" style="71" customWidth="1"/>
    <col min="14592" max="14595" width="8.5546875" style="71" customWidth="1"/>
    <col min="14596" max="14596" width="8" style="71" customWidth="1"/>
    <col min="14597" max="14597" width="7.88671875" style="71" customWidth="1"/>
    <col min="14598" max="14598" width="12.109375" style="71" customWidth="1"/>
    <col min="14599" max="14599" width="9.33203125" style="71" customWidth="1"/>
    <col min="14600" max="14600" width="10" style="71" customWidth="1"/>
    <col min="14601" max="14830" width="9" style="71"/>
    <col min="14831" max="14831" width="6.109375" style="71" customWidth="1"/>
    <col min="14832" max="14832" width="13.88671875" style="71" customWidth="1"/>
    <col min="14833" max="14833" width="6.33203125" style="71" customWidth="1"/>
    <col min="14834" max="14834" width="9.88671875" style="71" customWidth="1"/>
    <col min="14835" max="14835" width="9.109375" style="71" customWidth="1"/>
    <col min="14836" max="14836" width="9.33203125" style="71" customWidth="1"/>
    <col min="14837" max="14837" width="10.109375" style="71" customWidth="1"/>
    <col min="14838" max="14839" width="9.5546875" style="71" customWidth="1"/>
    <col min="14840" max="14840" width="6.5546875" style="71" customWidth="1"/>
    <col min="14841" max="14841" width="9.88671875" style="71" customWidth="1"/>
    <col min="14842" max="14842" width="9.44140625" style="71" customWidth="1"/>
    <col min="14843" max="14846" width="7.88671875" style="71" customWidth="1"/>
    <col min="14847" max="14847" width="9.5546875" style="71" customWidth="1"/>
    <col min="14848" max="14851" width="8.5546875" style="71" customWidth="1"/>
    <col min="14852" max="14852" width="8" style="71" customWidth="1"/>
    <col min="14853" max="14853" width="7.88671875" style="71" customWidth="1"/>
    <col min="14854" max="14854" width="12.109375" style="71" customWidth="1"/>
    <col min="14855" max="14855" width="9.33203125" style="71" customWidth="1"/>
    <col min="14856" max="14856" width="10" style="71" customWidth="1"/>
    <col min="14857" max="15086" width="9" style="71"/>
    <col min="15087" max="15087" width="6.109375" style="71" customWidth="1"/>
    <col min="15088" max="15088" width="13.88671875" style="71" customWidth="1"/>
    <col min="15089" max="15089" width="6.33203125" style="71" customWidth="1"/>
    <col min="15090" max="15090" width="9.88671875" style="71" customWidth="1"/>
    <col min="15091" max="15091" width="9.109375" style="71" customWidth="1"/>
    <col min="15092" max="15092" width="9.33203125" style="71" customWidth="1"/>
    <col min="15093" max="15093" width="10.109375" style="71" customWidth="1"/>
    <col min="15094" max="15095" width="9.5546875" style="71" customWidth="1"/>
    <col min="15096" max="15096" width="6.5546875" style="71" customWidth="1"/>
    <col min="15097" max="15097" width="9.88671875" style="71" customWidth="1"/>
    <col min="15098" max="15098" width="9.44140625" style="71" customWidth="1"/>
    <col min="15099" max="15102" width="7.88671875" style="71" customWidth="1"/>
    <col min="15103" max="15103" width="9.5546875" style="71" customWidth="1"/>
    <col min="15104" max="15107" width="8.5546875" style="71" customWidth="1"/>
    <col min="15108" max="15108" width="8" style="71" customWidth="1"/>
    <col min="15109" max="15109" width="7.88671875" style="71" customWidth="1"/>
    <col min="15110" max="15110" width="12.109375" style="71" customWidth="1"/>
    <col min="15111" max="15111" width="9.33203125" style="71" customWidth="1"/>
    <col min="15112" max="15112" width="10" style="71" customWidth="1"/>
    <col min="15113" max="15342" width="9" style="71"/>
    <col min="15343" max="15343" width="6.109375" style="71" customWidth="1"/>
    <col min="15344" max="15344" width="13.88671875" style="71" customWidth="1"/>
    <col min="15345" max="15345" width="6.33203125" style="71" customWidth="1"/>
    <col min="15346" max="15346" width="9.88671875" style="71" customWidth="1"/>
    <col min="15347" max="15347" width="9.109375" style="71" customWidth="1"/>
    <col min="15348" max="15348" width="9.33203125" style="71" customWidth="1"/>
    <col min="15349" max="15349" width="10.109375" style="71" customWidth="1"/>
    <col min="15350" max="15351" width="9.5546875" style="71" customWidth="1"/>
    <col min="15352" max="15352" width="6.5546875" style="71" customWidth="1"/>
    <col min="15353" max="15353" width="9.88671875" style="71" customWidth="1"/>
    <col min="15354" max="15354" width="9.44140625" style="71" customWidth="1"/>
    <col min="15355" max="15358" width="7.88671875" style="71" customWidth="1"/>
    <col min="15359" max="15359" width="9.5546875" style="71" customWidth="1"/>
    <col min="15360" max="15363" width="8.5546875" style="71" customWidth="1"/>
    <col min="15364" max="15364" width="8" style="71" customWidth="1"/>
    <col min="15365" max="15365" width="7.88671875" style="71" customWidth="1"/>
    <col min="15366" max="15366" width="12.109375" style="71" customWidth="1"/>
    <col min="15367" max="15367" width="9.33203125" style="71" customWidth="1"/>
    <col min="15368" max="15368" width="10" style="71" customWidth="1"/>
    <col min="15369" max="15598" width="9" style="71"/>
    <col min="15599" max="15599" width="6.109375" style="71" customWidth="1"/>
    <col min="15600" max="15600" width="13.88671875" style="71" customWidth="1"/>
    <col min="15601" max="15601" width="6.33203125" style="71" customWidth="1"/>
    <col min="15602" max="15602" width="9.88671875" style="71" customWidth="1"/>
    <col min="15603" max="15603" width="9.109375" style="71" customWidth="1"/>
    <col min="15604" max="15604" width="9.33203125" style="71" customWidth="1"/>
    <col min="15605" max="15605" width="10.109375" style="71" customWidth="1"/>
    <col min="15606" max="15607" width="9.5546875" style="71" customWidth="1"/>
    <col min="15608" max="15608" width="6.5546875" style="71" customWidth="1"/>
    <col min="15609" max="15609" width="9.88671875" style="71" customWidth="1"/>
    <col min="15610" max="15610" width="9.44140625" style="71" customWidth="1"/>
    <col min="15611" max="15614" width="7.88671875" style="71" customWidth="1"/>
    <col min="15615" max="15615" width="9.5546875" style="71" customWidth="1"/>
    <col min="15616" max="15619" width="8.5546875" style="71" customWidth="1"/>
    <col min="15620" max="15620" width="8" style="71" customWidth="1"/>
    <col min="15621" max="15621" width="7.88671875" style="71" customWidth="1"/>
    <col min="15622" max="15622" width="12.109375" style="71" customWidth="1"/>
    <col min="15623" max="15623" width="9.33203125" style="71" customWidth="1"/>
    <col min="15624" max="15624" width="10" style="71" customWidth="1"/>
    <col min="15625" max="15854" width="9" style="71"/>
    <col min="15855" max="15855" width="6.109375" style="71" customWidth="1"/>
    <col min="15856" max="15856" width="13.88671875" style="71" customWidth="1"/>
    <col min="15857" max="15857" width="6.33203125" style="71" customWidth="1"/>
    <col min="15858" max="15858" width="9.88671875" style="71" customWidth="1"/>
    <col min="15859" max="15859" width="9.109375" style="71" customWidth="1"/>
    <col min="15860" max="15860" width="9.33203125" style="71" customWidth="1"/>
    <col min="15861" max="15861" width="10.109375" style="71" customWidth="1"/>
    <col min="15862" max="15863" width="9.5546875" style="71" customWidth="1"/>
    <col min="15864" max="15864" width="6.5546875" style="71" customWidth="1"/>
    <col min="15865" max="15865" width="9.88671875" style="71" customWidth="1"/>
    <col min="15866" max="15866" width="9.44140625" style="71" customWidth="1"/>
    <col min="15867" max="15870" width="7.88671875" style="71" customWidth="1"/>
    <col min="15871" max="15871" width="9.5546875" style="71" customWidth="1"/>
    <col min="15872" max="15875" width="8.5546875" style="71" customWidth="1"/>
    <col min="15876" max="15876" width="8" style="71" customWidth="1"/>
    <col min="15877" max="15877" width="7.88671875" style="71" customWidth="1"/>
    <col min="15878" max="15878" width="12.109375" style="71" customWidth="1"/>
    <col min="15879" max="15879" width="9.33203125" style="71" customWidth="1"/>
    <col min="15880" max="15880" width="10" style="71" customWidth="1"/>
    <col min="15881" max="16110" width="9" style="71"/>
    <col min="16111" max="16111" width="6.109375" style="71" customWidth="1"/>
    <col min="16112" max="16112" width="13.88671875" style="71" customWidth="1"/>
    <col min="16113" max="16113" width="6.33203125" style="71" customWidth="1"/>
    <col min="16114" max="16114" width="9.88671875" style="71" customWidth="1"/>
    <col min="16115" max="16115" width="9.109375" style="71" customWidth="1"/>
    <col min="16116" max="16116" width="9.33203125" style="71" customWidth="1"/>
    <col min="16117" max="16117" width="10.109375" style="71" customWidth="1"/>
    <col min="16118" max="16119" width="9.5546875" style="71" customWidth="1"/>
    <col min="16120" max="16120" width="6.5546875" style="71" customWidth="1"/>
    <col min="16121" max="16121" width="9.88671875" style="71" customWidth="1"/>
    <col min="16122" max="16122" width="9.44140625" style="71" customWidth="1"/>
    <col min="16123" max="16126" width="7.88671875" style="71" customWidth="1"/>
    <col min="16127" max="16127" width="9.5546875" style="71" customWidth="1"/>
    <col min="16128" max="16131" width="8.5546875" style="71" customWidth="1"/>
    <col min="16132" max="16132" width="8" style="71" customWidth="1"/>
    <col min="16133" max="16133" width="7.88671875" style="71" customWidth="1"/>
    <col min="16134" max="16134" width="12.109375" style="71" customWidth="1"/>
    <col min="16135" max="16135" width="9.33203125" style="71" customWidth="1"/>
    <col min="16136" max="16136" width="10" style="71" customWidth="1"/>
    <col min="16137" max="16384" width="9" style="71"/>
  </cols>
  <sheetData>
    <row r="1" spans="1:237" ht="35.25" customHeight="1" x14ac:dyDescent="0.3">
      <c r="A1" s="307" t="str">
        <f>"BẢNG THEO DÕI TRỪ BONUS TÍNH VÀO LƯƠNG THÁNG "&amp;BCC!O4&amp;"/"&amp;BCC!O5</f>
        <v>BẢNG THEO DÕI TRỪ BONUS TÍNH VÀO LƯƠNG THÁNG 10/2026</v>
      </c>
      <c r="B1" s="307"/>
      <c r="C1" s="307"/>
      <c r="D1" s="307"/>
      <c r="E1" s="307"/>
      <c r="F1" s="307"/>
      <c r="G1" s="307"/>
      <c r="H1" s="307"/>
      <c r="I1" s="307"/>
      <c r="J1" s="76"/>
      <c r="K1" s="76"/>
      <c r="L1" s="76"/>
      <c r="M1" s="76"/>
      <c r="N1" s="76"/>
      <c r="O1" s="76"/>
      <c r="P1" s="77"/>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c r="AY1" s="76"/>
      <c r="AZ1" s="76"/>
      <c r="BA1" s="76"/>
      <c r="BB1" s="76"/>
      <c r="BC1" s="76"/>
      <c r="BD1" s="76"/>
      <c r="BE1" s="76"/>
      <c r="BF1" s="76"/>
      <c r="BG1" s="76"/>
      <c r="BH1" s="76"/>
      <c r="BI1" s="76"/>
      <c r="BJ1" s="76"/>
      <c r="BK1" s="76"/>
      <c r="BL1" s="76"/>
      <c r="BM1" s="76"/>
      <c r="BN1" s="76"/>
      <c r="BO1" s="76"/>
      <c r="BP1" s="76"/>
      <c r="BQ1" s="76"/>
      <c r="BR1" s="76"/>
      <c r="BS1" s="76"/>
      <c r="BT1" s="76"/>
      <c r="BU1" s="76"/>
      <c r="BV1" s="76"/>
      <c r="BW1" s="76"/>
      <c r="BX1" s="76"/>
      <c r="BY1" s="76"/>
      <c r="BZ1" s="76"/>
      <c r="CA1" s="76"/>
      <c r="CB1" s="76"/>
      <c r="CC1" s="76"/>
      <c r="CD1" s="76"/>
      <c r="CE1" s="76"/>
      <c r="CF1" s="76"/>
      <c r="CG1" s="76"/>
      <c r="CH1" s="76"/>
      <c r="CI1" s="76"/>
      <c r="CJ1" s="76"/>
      <c r="CK1" s="76"/>
      <c r="CL1" s="76"/>
      <c r="CM1" s="76"/>
      <c r="CN1" s="76"/>
      <c r="CO1" s="76"/>
      <c r="CP1" s="76"/>
      <c r="CQ1" s="76"/>
      <c r="CR1" s="76"/>
      <c r="CS1" s="76"/>
      <c r="CT1" s="76"/>
      <c r="CU1" s="76"/>
      <c r="CV1" s="76"/>
      <c r="CW1" s="76"/>
      <c r="CX1" s="76"/>
      <c r="CY1" s="76"/>
      <c r="CZ1" s="76"/>
      <c r="DA1" s="76"/>
      <c r="DB1" s="76"/>
      <c r="DC1" s="76"/>
      <c r="DD1" s="76"/>
      <c r="DE1" s="76"/>
      <c r="DF1" s="76"/>
      <c r="DG1" s="76"/>
      <c r="DH1" s="76"/>
      <c r="DI1" s="76"/>
      <c r="DJ1" s="76"/>
      <c r="DK1" s="76"/>
      <c r="DL1" s="76"/>
      <c r="DM1" s="76"/>
      <c r="DN1" s="76"/>
      <c r="DO1" s="76"/>
      <c r="DP1" s="76"/>
      <c r="DQ1" s="76"/>
      <c r="DR1" s="76"/>
      <c r="DS1" s="76"/>
      <c r="DT1" s="76"/>
      <c r="DU1" s="76"/>
      <c r="DV1" s="76"/>
      <c r="DW1" s="76"/>
      <c r="DX1" s="76"/>
      <c r="DY1" s="76"/>
      <c r="DZ1" s="76"/>
      <c r="EA1" s="76"/>
      <c r="EB1" s="76"/>
      <c r="EC1" s="76"/>
      <c r="ED1" s="76"/>
      <c r="EE1" s="76"/>
      <c r="EF1" s="76"/>
      <c r="EG1" s="76"/>
      <c r="EH1" s="76"/>
      <c r="EI1" s="76"/>
      <c r="EJ1" s="76"/>
      <c r="EK1" s="76"/>
      <c r="EL1" s="76"/>
      <c r="EM1" s="76"/>
      <c r="EN1" s="76"/>
      <c r="EO1" s="76"/>
      <c r="EP1" s="76"/>
      <c r="EQ1" s="76"/>
      <c r="ER1" s="76"/>
      <c r="ES1" s="76"/>
      <c r="ET1" s="76"/>
      <c r="EU1" s="76"/>
      <c r="EV1" s="76"/>
      <c r="EW1" s="76"/>
      <c r="EX1" s="76"/>
      <c r="EY1" s="76"/>
      <c r="EZ1" s="76"/>
      <c r="FA1" s="76"/>
      <c r="FB1" s="76"/>
      <c r="FC1" s="76"/>
      <c r="FD1" s="76"/>
      <c r="FE1" s="76"/>
      <c r="FF1" s="76"/>
      <c r="FG1" s="76"/>
      <c r="FH1" s="76"/>
      <c r="FI1" s="76"/>
      <c r="FJ1" s="76"/>
      <c r="FK1" s="76"/>
      <c r="FL1" s="76"/>
      <c r="FM1" s="76"/>
      <c r="FN1" s="76"/>
      <c r="FO1" s="76"/>
      <c r="FP1" s="76"/>
      <c r="FQ1" s="76"/>
      <c r="FR1" s="76"/>
      <c r="FS1" s="76"/>
      <c r="FT1" s="76"/>
      <c r="FU1" s="76"/>
      <c r="FV1" s="76"/>
      <c r="FW1" s="76"/>
      <c r="FX1" s="76"/>
      <c r="FY1" s="76"/>
      <c r="FZ1" s="76"/>
      <c r="GA1" s="76"/>
      <c r="GB1" s="76"/>
      <c r="GC1" s="76"/>
      <c r="GD1" s="76"/>
      <c r="GE1" s="76"/>
      <c r="GF1" s="76"/>
      <c r="GG1" s="76"/>
      <c r="GH1" s="76"/>
      <c r="GI1" s="76"/>
      <c r="GJ1" s="76"/>
      <c r="GK1" s="76"/>
      <c r="GL1" s="76"/>
      <c r="GM1" s="76"/>
      <c r="GN1" s="76"/>
      <c r="GO1" s="76"/>
      <c r="GP1" s="76"/>
      <c r="GQ1" s="76"/>
      <c r="GR1" s="76"/>
      <c r="GS1" s="76"/>
      <c r="GT1" s="76"/>
      <c r="GU1" s="76"/>
      <c r="GV1" s="76"/>
      <c r="GW1" s="76"/>
      <c r="GX1" s="76"/>
      <c r="GY1" s="76"/>
      <c r="GZ1" s="76"/>
      <c r="HA1" s="76"/>
      <c r="HB1" s="76"/>
      <c r="HC1" s="76"/>
      <c r="HD1" s="76"/>
      <c r="HE1" s="76"/>
      <c r="HF1" s="76"/>
      <c r="HG1" s="76"/>
      <c r="HH1" s="76"/>
      <c r="HI1" s="76"/>
      <c r="HJ1" s="76"/>
      <c r="HK1" s="76"/>
      <c r="HL1" s="76"/>
      <c r="HM1" s="76"/>
      <c r="HN1" s="76"/>
      <c r="HO1" s="76"/>
      <c r="HP1" s="76"/>
      <c r="HQ1" s="76"/>
      <c r="HR1" s="76"/>
      <c r="HS1" s="76"/>
      <c r="HT1" s="76"/>
      <c r="HU1" s="76"/>
      <c r="HV1" s="76"/>
      <c r="HW1" s="76"/>
      <c r="HX1" s="76"/>
      <c r="HY1" s="76"/>
      <c r="HZ1" s="76"/>
      <c r="IA1" s="76"/>
      <c r="IB1" s="76"/>
      <c r="IC1" s="76"/>
    </row>
    <row r="2" spans="1:237" ht="15.75" customHeight="1" x14ac:dyDescent="0.3">
      <c r="A2" s="308" t="s">
        <v>1</v>
      </c>
      <c r="B2" s="309" t="s">
        <v>24</v>
      </c>
      <c r="C2" s="310" t="s">
        <v>95</v>
      </c>
      <c r="D2" s="300" t="s">
        <v>96</v>
      </c>
      <c r="E2" s="300"/>
      <c r="F2" s="300"/>
      <c r="G2" s="300" t="s">
        <v>97</v>
      </c>
      <c r="H2" s="311" t="s">
        <v>98</v>
      </c>
      <c r="I2" s="310" t="s">
        <v>99</v>
      </c>
      <c r="J2" s="52"/>
      <c r="K2" s="52"/>
      <c r="L2" s="52"/>
      <c r="M2" s="52"/>
      <c r="N2" s="52"/>
      <c r="O2" s="52"/>
      <c r="P2" s="80"/>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52"/>
      <c r="CE2" s="52"/>
      <c r="CF2" s="52"/>
      <c r="CG2" s="52"/>
      <c r="CH2" s="52"/>
      <c r="CI2" s="52"/>
      <c r="CJ2" s="52"/>
      <c r="CK2" s="52"/>
      <c r="CL2" s="52"/>
      <c r="CM2" s="52"/>
      <c r="CN2" s="52"/>
      <c r="CO2" s="52"/>
      <c r="CP2" s="52"/>
      <c r="CQ2" s="52"/>
      <c r="CR2" s="52"/>
      <c r="CS2" s="52"/>
      <c r="CT2" s="52"/>
      <c r="CU2" s="52"/>
      <c r="CV2" s="52"/>
      <c r="CW2" s="52"/>
      <c r="CX2" s="52"/>
      <c r="CY2" s="52"/>
      <c r="CZ2" s="52"/>
      <c r="DA2" s="52"/>
      <c r="DB2" s="52"/>
      <c r="DC2" s="52"/>
      <c r="DD2" s="52"/>
      <c r="DE2" s="52"/>
      <c r="DF2" s="52"/>
      <c r="DG2" s="52"/>
      <c r="DH2" s="52"/>
      <c r="DI2" s="52"/>
      <c r="DJ2" s="52"/>
      <c r="DK2" s="52"/>
      <c r="DL2" s="52"/>
      <c r="DM2" s="52"/>
      <c r="DN2" s="52"/>
      <c r="DO2" s="52"/>
      <c r="DP2" s="52"/>
      <c r="DQ2" s="52"/>
      <c r="DR2" s="52"/>
      <c r="DS2" s="52"/>
      <c r="DT2" s="52"/>
      <c r="DU2" s="52"/>
      <c r="DV2" s="52"/>
      <c r="DW2" s="52"/>
      <c r="DX2" s="52"/>
      <c r="DY2" s="52"/>
      <c r="DZ2" s="52"/>
      <c r="EA2" s="52"/>
      <c r="EB2" s="52"/>
      <c r="EC2" s="52"/>
      <c r="ED2" s="52"/>
      <c r="EE2" s="52"/>
      <c r="EF2" s="52"/>
      <c r="EG2" s="52"/>
      <c r="EH2" s="52"/>
      <c r="EI2" s="52"/>
      <c r="EJ2" s="52"/>
      <c r="EK2" s="52"/>
      <c r="EL2" s="52"/>
      <c r="EM2" s="52"/>
      <c r="EN2" s="52"/>
      <c r="EO2" s="52"/>
      <c r="EP2" s="52"/>
      <c r="EQ2" s="52"/>
      <c r="ER2" s="52"/>
      <c r="ES2" s="52"/>
      <c r="ET2" s="52"/>
      <c r="EU2" s="52"/>
      <c r="EV2" s="52"/>
      <c r="EW2" s="52"/>
      <c r="EX2" s="52"/>
      <c r="EY2" s="52"/>
      <c r="EZ2" s="52"/>
      <c r="FA2" s="52"/>
      <c r="FB2" s="52"/>
      <c r="FC2" s="52"/>
      <c r="FD2" s="52"/>
      <c r="FE2" s="52"/>
      <c r="FF2" s="52"/>
      <c r="FG2" s="52"/>
      <c r="FH2" s="52"/>
      <c r="FI2" s="52"/>
      <c r="FJ2" s="52"/>
      <c r="FK2" s="52"/>
      <c r="FL2" s="52"/>
      <c r="FM2" s="52"/>
      <c r="FN2" s="52"/>
      <c r="FO2" s="52"/>
      <c r="FP2" s="52"/>
      <c r="FQ2" s="52"/>
      <c r="FR2" s="52"/>
      <c r="FS2" s="52"/>
      <c r="FT2" s="52"/>
      <c r="FU2" s="52"/>
      <c r="FV2" s="52"/>
      <c r="FW2" s="52"/>
      <c r="FX2" s="52"/>
      <c r="FY2" s="52"/>
      <c r="FZ2" s="52"/>
      <c r="GA2" s="52"/>
      <c r="GB2" s="52"/>
      <c r="GC2" s="52"/>
      <c r="GD2" s="52"/>
      <c r="GE2" s="52"/>
      <c r="GF2" s="52"/>
      <c r="GG2" s="52"/>
      <c r="GH2" s="52"/>
      <c r="GI2" s="52"/>
      <c r="GJ2" s="52"/>
      <c r="GK2" s="52"/>
      <c r="GL2" s="52"/>
      <c r="GM2" s="52"/>
      <c r="GN2" s="52"/>
      <c r="GO2" s="52"/>
      <c r="GP2" s="52"/>
      <c r="GQ2" s="52"/>
      <c r="GR2" s="52"/>
      <c r="GS2" s="52"/>
      <c r="GT2" s="52"/>
      <c r="GU2" s="52"/>
      <c r="GV2" s="52"/>
      <c r="GW2" s="52"/>
      <c r="GX2" s="52"/>
      <c r="GY2" s="52"/>
      <c r="GZ2" s="52"/>
      <c r="HA2" s="52"/>
      <c r="HB2" s="52"/>
      <c r="HC2" s="52"/>
      <c r="HD2" s="52"/>
      <c r="HE2" s="52"/>
      <c r="HF2" s="52"/>
      <c r="HG2" s="52"/>
      <c r="HH2" s="52"/>
      <c r="HI2" s="52"/>
      <c r="HJ2" s="52"/>
      <c r="HK2" s="52"/>
      <c r="HL2" s="52"/>
      <c r="HM2" s="52"/>
      <c r="HN2" s="52"/>
      <c r="HO2" s="52"/>
      <c r="HP2" s="52"/>
      <c r="HQ2" s="52"/>
      <c r="HR2" s="52"/>
      <c r="HS2" s="52"/>
      <c r="HT2" s="52"/>
      <c r="HU2" s="52"/>
      <c r="HV2" s="52"/>
      <c r="HW2" s="52"/>
      <c r="HX2" s="52"/>
      <c r="HY2" s="52"/>
      <c r="HZ2" s="52"/>
      <c r="IA2" s="52"/>
      <c r="IB2" s="52"/>
      <c r="IC2" s="52"/>
    </row>
    <row r="3" spans="1:237" ht="27" customHeight="1" x14ac:dyDescent="0.3">
      <c r="A3" s="308"/>
      <c r="B3" s="308"/>
      <c r="C3" s="308"/>
      <c r="D3" s="1" t="s">
        <v>100</v>
      </c>
      <c r="E3" s="1" t="s">
        <v>101</v>
      </c>
      <c r="F3" s="1" t="s">
        <v>102</v>
      </c>
      <c r="G3" s="300"/>
      <c r="H3" s="300"/>
      <c r="I3" s="300"/>
      <c r="J3" s="52"/>
      <c r="K3" s="52"/>
      <c r="L3" s="52"/>
      <c r="M3" s="52"/>
      <c r="N3" s="52"/>
      <c r="O3" s="52"/>
      <c r="P3" s="80"/>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c r="AW3" s="52"/>
      <c r="AX3" s="52"/>
      <c r="AY3" s="52"/>
      <c r="AZ3" s="52"/>
      <c r="BA3" s="52"/>
      <c r="BB3" s="52"/>
      <c r="BC3" s="52"/>
      <c r="BD3" s="52"/>
      <c r="BE3" s="52"/>
      <c r="BF3" s="52"/>
      <c r="BG3" s="52"/>
      <c r="BH3" s="52"/>
      <c r="BI3" s="52"/>
      <c r="BJ3" s="52"/>
      <c r="BK3" s="52"/>
      <c r="BL3" s="52"/>
      <c r="BM3" s="52"/>
      <c r="BN3" s="52"/>
      <c r="BO3" s="52"/>
      <c r="BP3" s="52"/>
      <c r="BQ3" s="52"/>
      <c r="BR3" s="52"/>
      <c r="BS3" s="52"/>
      <c r="BT3" s="52"/>
      <c r="BU3" s="52"/>
      <c r="BV3" s="52"/>
      <c r="BW3" s="52"/>
      <c r="BX3" s="52"/>
      <c r="BY3" s="52"/>
      <c r="BZ3" s="52"/>
      <c r="CA3" s="52"/>
      <c r="CB3" s="52"/>
      <c r="CC3" s="52"/>
      <c r="CD3" s="52"/>
      <c r="CE3" s="52"/>
      <c r="CF3" s="52"/>
      <c r="CG3" s="52"/>
      <c r="CH3" s="52"/>
      <c r="CI3" s="52"/>
      <c r="CJ3" s="52"/>
      <c r="CK3" s="52"/>
      <c r="CL3" s="52"/>
      <c r="CM3" s="52"/>
      <c r="CN3" s="52"/>
      <c r="CO3" s="52"/>
      <c r="CP3" s="52"/>
      <c r="CQ3" s="52"/>
      <c r="CR3" s="52"/>
      <c r="CS3" s="52"/>
      <c r="CT3" s="52"/>
      <c r="CU3" s="52"/>
      <c r="CV3" s="52"/>
      <c r="CW3" s="52"/>
      <c r="CX3" s="52"/>
      <c r="CY3" s="52"/>
      <c r="CZ3" s="52"/>
      <c r="DA3" s="52"/>
      <c r="DB3" s="52"/>
      <c r="DC3" s="52"/>
      <c r="DD3" s="52"/>
      <c r="DE3" s="52"/>
      <c r="DF3" s="52"/>
      <c r="DG3" s="52"/>
      <c r="DH3" s="52"/>
      <c r="DI3" s="52"/>
      <c r="DJ3" s="52"/>
      <c r="DK3" s="52"/>
      <c r="DL3" s="52"/>
      <c r="DM3" s="52"/>
      <c r="DN3" s="52"/>
      <c r="DO3" s="52"/>
      <c r="DP3" s="52"/>
      <c r="DQ3" s="52"/>
      <c r="DR3" s="52"/>
      <c r="DS3" s="52"/>
      <c r="DT3" s="52"/>
      <c r="DU3" s="52"/>
      <c r="DV3" s="52"/>
      <c r="DW3" s="52"/>
      <c r="DX3" s="52"/>
      <c r="DY3" s="52"/>
      <c r="DZ3" s="52"/>
      <c r="EA3" s="52"/>
      <c r="EB3" s="52"/>
      <c r="EC3" s="52"/>
      <c r="ED3" s="52"/>
      <c r="EE3" s="52"/>
      <c r="EF3" s="52"/>
      <c r="EG3" s="52"/>
      <c r="EH3" s="52"/>
      <c r="EI3" s="52"/>
      <c r="EJ3" s="52"/>
      <c r="EK3" s="52"/>
      <c r="EL3" s="52"/>
      <c r="EM3" s="52"/>
      <c r="EN3" s="52"/>
      <c r="EO3" s="52"/>
      <c r="EP3" s="52"/>
      <c r="EQ3" s="52"/>
      <c r="ER3" s="52"/>
      <c r="ES3" s="52"/>
      <c r="ET3" s="52"/>
      <c r="EU3" s="52"/>
      <c r="EV3" s="52"/>
      <c r="EW3" s="52"/>
      <c r="EX3" s="52"/>
      <c r="EY3" s="52"/>
      <c r="EZ3" s="52"/>
      <c r="FA3" s="52"/>
      <c r="FB3" s="52"/>
      <c r="FC3" s="52"/>
      <c r="FD3" s="52"/>
      <c r="FE3" s="52"/>
      <c r="FF3" s="52"/>
      <c r="FG3" s="52"/>
      <c r="FH3" s="52"/>
      <c r="FI3" s="52"/>
      <c r="FJ3" s="52"/>
      <c r="FK3" s="52"/>
      <c r="FL3" s="52"/>
      <c r="FM3" s="52"/>
      <c r="FN3" s="52"/>
      <c r="FO3" s="52"/>
      <c r="FP3" s="52"/>
      <c r="FQ3" s="52"/>
      <c r="FR3" s="52"/>
      <c r="FS3" s="52"/>
      <c r="FT3" s="52"/>
      <c r="FU3" s="52"/>
      <c r="FV3" s="52"/>
      <c r="FW3" s="52"/>
      <c r="FX3" s="52"/>
      <c r="FY3" s="52"/>
      <c r="FZ3" s="52"/>
      <c r="GA3" s="52"/>
      <c r="GB3" s="52"/>
      <c r="GC3" s="52"/>
      <c r="GD3" s="52"/>
      <c r="GE3" s="52"/>
      <c r="GF3" s="52"/>
      <c r="GG3" s="52"/>
      <c r="GH3" s="52"/>
      <c r="GI3" s="52"/>
      <c r="GJ3" s="52"/>
      <c r="GK3" s="52"/>
      <c r="GL3" s="52"/>
      <c r="GM3" s="52"/>
      <c r="GN3" s="52"/>
      <c r="GO3" s="52"/>
      <c r="GP3" s="52"/>
      <c r="GQ3" s="52"/>
      <c r="GR3" s="52"/>
      <c r="GS3" s="52"/>
      <c r="GT3" s="52"/>
      <c r="GU3" s="52"/>
      <c r="GV3" s="52"/>
      <c r="GW3" s="52"/>
      <c r="GX3" s="52"/>
      <c r="GY3" s="52"/>
      <c r="GZ3" s="52"/>
      <c r="HA3" s="52"/>
      <c r="HB3" s="52"/>
      <c r="HC3" s="52"/>
      <c r="HD3" s="52"/>
      <c r="HE3" s="52"/>
      <c r="HF3" s="52"/>
      <c r="HG3" s="52"/>
      <c r="HH3" s="52"/>
      <c r="HI3" s="52"/>
      <c r="HJ3" s="52"/>
      <c r="HK3" s="52"/>
      <c r="HL3" s="52"/>
      <c r="HM3" s="52"/>
      <c r="HN3" s="52"/>
      <c r="HO3" s="52"/>
      <c r="HP3" s="52"/>
      <c r="HQ3" s="52"/>
      <c r="HR3" s="52"/>
      <c r="HS3" s="52"/>
      <c r="HT3" s="52"/>
      <c r="HU3" s="52"/>
      <c r="HV3" s="52"/>
      <c r="HW3" s="52"/>
      <c r="HX3" s="52"/>
      <c r="HY3" s="52"/>
      <c r="HZ3" s="52"/>
      <c r="IA3" s="52"/>
      <c r="IB3" s="52"/>
      <c r="IC3" s="52"/>
    </row>
    <row r="4" spans="1:237" ht="16.5" customHeight="1" x14ac:dyDescent="0.3">
      <c r="A4" s="81"/>
      <c r="B4" s="82">
        <v>1</v>
      </c>
      <c r="C4" s="82">
        <v>2</v>
      </c>
      <c r="D4" s="82">
        <v>3</v>
      </c>
      <c r="E4" s="82">
        <v>4</v>
      </c>
      <c r="F4" s="82">
        <v>5</v>
      </c>
      <c r="G4" s="82">
        <v>6</v>
      </c>
      <c r="H4" s="82">
        <v>7</v>
      </c>
      <c r="I4" s="82">
        <v>8</v>
      </c>
      <c r="J4" s="52"/>
      <c r="K4" s="52"/>
      <c r="L4" s="52"/>
      <c r="M4" s="52"/>
      <c r="N4" s="52"/>
      <c r="O4" s="52"/>
      <c r="P4" s="80"/>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2"/>
      <c r="BA4" s="52"/>
      <c r="BB4" s="52"/>
      <c r="BC4" s="52"/>
      <c r="BD4" s="52"/>
      <c r="BE4" s="52"/>
      <c r="BF4" s="52"/>
      <c r="BG4" s="52"/>
      <c r="BH4" s="52"/>
      <c r="BI4" s="52"/>
      <c r="BJ4" s="52"/>
      <c r="BK4" s="52"/>
      <c r="BL4" s="52"/>
      <c r="BM4" s="52"/>
      <c r="BN4" s="52"/>
      <c r="BO4" s="52"/>
      <c r="BP4" s="52"/>
      <c r="BQ4" s="52"/>
      <c r="BR4" s="52"/>
      <c r="BS4" s="52"/>
      <c r="BT4" s="52"/>
      <c r="BU4" s="52"/>
      <c r="BV4" s="52"/>
      <c r="BW4" s="52"/>
      <c r="BX4" s="52"/>
      <c r="BY4" s="52"/>
      <c r="BZ4" s="52"/>
      <c r="CA4" s="52"/>
      <c r="CB4" s="52"/>
      <c r="CC4" s="52"/>
      <c r="CD4" s="52"/>
      <c r="CE4" s="52"/>
      <c r="CF4" s="52"/>
      <c r="CG4" s="52"/>
      <c r="CH4" s="52"/>
      <c r="CI4" s="52"/>
      <c r="CJ4" s="52"/>
      <c r="CK4" s="52"/>
      <c r="CL4" s="52"/>
      <c r="CM4" s="52"/>
      <c r="CN4" s="52"/>
      <c r="CO4" s="52"/>
      <c r="CP4" s="52"/>
      <c r="CQ4" s="52"/>
      <c r="CR4" s="52"/>
      <c r="CS4" s="52"/>
      <c r="CT4" s="52"/>
      <c r="CU4" s="52"/>
      <c r="CV4" s="52"/>
      <c r="CW4" s="52"/>
      <c r="CX4" s="52"/>
      <c r="CY4" s="52"/>
      <c r="CZ4" s="52"/>
      <c r="DA4" s="52"/>
      <c r="DB4" s="52"/>
      <c r="DC4" s="52"/>
      <c r="DD4" s="52"/>
      <c r="DE4" s="52"/>
      <c r="DF4" s="52"/>
      <c r="DG4" s="52"/>
      <c r="DH4" s="52"/>
      <c r="DI4" s="52"/>
      <c r="DJ4" s="52"/>
      <c r="DK4" s="52"/>
      <c r="DL4" s="52"/>
      <c r="DM4" s="52"/>
      <c r="DN4" s="52"/>
      <c r="DO4" s="52"/>
      <c r="DP4" s="52"/>
      <c r="DQ4" s="52"/>
      <c r="DR4" s="52"/>
      <c r="DS4" s="52"/>
      <c r="DT4" s="52"/>
      <c r="DU4" s="52"/>
      <c r="DV4" s="52"/>
      <c r="DW4" s="52"/>
      <c r="DX4" s="52"/>
      <c r="DY4" s="52"/>
      <c r="DZ4" s="52"/>
      <c r="EA4" s="52"/>
      <c r="EB4" s="52"/>
      <c r="EC4" s="52"/>
      <c r="ED4" s="52"/>
      <c r="EE4" s="52"/>
      <c r="EF4" s="52"/>
      <c r="EG4" s="52"/>
      <c r="EH4" s="52"/>
      <c r="EI4" s="52"/>
      <c r="EJ4" s="52"/>
      <c r="EK4" s="52"/>
      <c r="EL4" s="52"/>
      <c r="EM4" s="52"/>
      <c r="EN4" s="52"/>
      <c r="EO4" s="52"/>
      <c r="EP4" s="52"/>
      <c r="EQ4" s="52"/>
      <c r="ER4" s="52"/>
      <c r="ES4" s="52"/>
      <c r="ET4" s="52"/>
      <c r="EU4" s="52"/>
      <c r="EV4" s="52"/>
      <c r="EW4" s="52"/>
      <c r="EX4" s="52"/>
      <c r="EY4" s="52"/>
      <c r="EZ4" s="52"/>
      <c r="FA4" s="52"/>
      <c r="FB4" s="52"/>
      <c r="FC4" s="52"/>
      <c r="FD4" s="52"/>
      <c r="FE4" s="52"/>
      <c r="FF4" s="52"/>
      <c r="FG4" s="52"/>
      <c r="FH4" s="52"/>
      <c r="FI4" s="52"/>
      <c r="FJ4" s="52"/>
      <c r="FK4" s="52"/>
      <c r="FL4" s="52"/>
      <c r="FM4" s="52"/>
      <c r="FN4" s="52"/>
      <c r="FO4" s="52"/>
      <c r="FP4" s="52"/>
      <c r="FQ4" s="52"/>
      <c r="FR4" s="52"/>
      <c r="FS4" s="52"/>
      <c r="FT4" s="52"/>
      <c r="FU4" s="52"/>
      <c r="FV4" s="52"/>
      <c r="FW4" s="52"/>
      <c r="FX4" s="52"/>
      <c r="FY4" s="52"/>
      <c r="FZ4" s="52"/>
      <c r="GA4" s="52"/>
      <c r="GB4" s="52"/>
      <c r="GC4" s="52"/>
      <c r="GD4" s="52"/>
      <c r="GE4" s="52"/>
      <c r="GF4" s="52"/>
      <c r="GG4" s="52"/>
      <c r="GH4" s="52"/>
      <c r="GI4" s="52"/>
      <c r="GJ4" s="52"/>
      <c r="GK4" s="52"/>
      <c r="GL4" s="52"/>
      <c r="GM4" s="52"/>
      <c r="GN4" s="52"/>
      <c r="GO4" s="52"/>
      <c r="GP4" s="52"/>
      <c r="GQ4" s="52"/>
      <c r="GR4" s="52"/>
      <c r="GS4" s="52"/>
      <c r="GT4" s="52"/>
      <c r="GU4" s="52"/>
      <c r="GV4" s="52"/>
      <c r="GW4" s="52"/>
      <c r="GX4" s="52"/>
      <c r="GY4" s="52"/>
      <c r="GZ4" s="52"/>
      <c r="HA4" s="52"/>
      <c r="HB4" s="52"/>
      <c r="HC4" s="52"/>
      <c r="HD4" s="52"/>
      <c r="HE4" s="52"/>
      <c r="HF4" s="52"/>
      <c r="HG4" s="52"/>
      <c r="HH4" s="52"/>
      <c r="HI4" s="52"/>
      <c r="HJ4" s="52"/>
      <c r="HK4" s="52"/>
      <c r="HL4" s="52"/>
      <c r="HM4" s="52"/>
      <c r="HN4" s="52"/>
      <c r="HO4" s="52"/>
      <c r="HP4" s="52"/>
      <c r="HQ4" s="52"/>
      <c r="HR4" s="52"/>
      <c r="HS4" s="52"/>
      <c r="HT4" s="52"/>
      <c r="HU4" s="52"/>
      <c r="HV4" s="52"/>
      <c r="HW4" s="52"/>
      <c r="HX4" s="52"/>
      <c r="HY4" s="52"/>
      <c r="HZ4" s="52"/>
      <c r="IA4" s="52"/>
      <c r="IB4" s="52"/>
      <c r="IC4" s="52"/>
    </row>
    <row r="5" spans="1:237" ht="16.5" customHeight="1" x14ac:dyDescent="0.25">
      <c r="A5" s="43">
        <f>IF('Mức lương'!A8="","",'Mức lương'!A8)</f>
        <v>1</v>
      </c>
      <c r="B5" s="83" t="str">
        <f>IF('Mức lương'!B8="","",'Mức lương'!B8)</f>
        <v>NGUYỄN KIM QUYẾT</v>
      </c>
      <c r="C5" s="83" t="str">
        <f>IF(B5="","",IFERROR(IF(INDEX('Mức lương'!$C$8:$C$62,MATCH($B5,'Mức lương'!$B$8:$B$62,0))="","",INDEX('Mức lương'!$C$8:$C$62,MATCH($B5,'Mức lương'!$B$8:$B$62,0))),""))</f>
        <v>Giám Đốc</v>
      </c>
      <c r="D5" s="84"/>
      <c r="E5" s="84"/>
      <c r="F5" s="84"/>
      <c r="G5" s="85">
        <f t="shared" ref="G5:G7" si="0">SUM(D5:F5)</f>
        <v>0</v>
      </c>
      <c r="H5" s="86">
        <f t="shared" ref="H5:H7" si="1">G5</f>
        <v>0</v>
      </c>
      <c r="I5" s="87">
        <f t="shared" ref="I5:I7" si="2">G5-H5</f>
        <v>0</v>
      </c>
      <c r="J5" s="64"/>
      <c r="K5" s="88"/>
      <c r="L5" s="88"/>
      <c r="M5" s="88"/>
      <c r="N5" s="88"/>
      <c r="O5" s="88"/>
      <c r="P5" s="89"/>
      <c r="Q5" s="88"/>
      <c r="R5" s="88"/>
      <c r="S5" s="88"/>
      <c r="T5" s="88"/>
      <c r="U5" s="88"/>
      <c r="V5" s="8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c r="AZ5" s="88"/>
      <c r="BA5" s="88"/>
      <c r="BB5" s="88"/>
      <c r="BC5" s="88"/>
      <c r="BD5" s="88"/>
      <c r="BE5" s="88"/>
      <c r="BF5" s="88"/>
      <c r="BG5" s="88"/>
      <c r="BH5" s="88"/>
      <c r="BI5" s="88"/>
      <c r="BJ5" s="88"/>
      <c r="BK5" s="88"/>
      <c r="BL5" s="88"/>
      <c r="BM5" s="88"/>
      <c r="BN5" s="88"/>
      <c r="BO5" s="88"/>
      <c r="BP5" s="88"/>
      <c r="BQ5" s="88"/>
      <c r="BR5" s="88"/>
      <c r="BS5" s="88"/>
      <c r="BT5" s="88"/>
      <c r="BU5" s="88"/>
      <c r="BV5" s="88"/>
      <c r="BW5" s="88"/>
      <c r="BX5" s="88"/>
      <c r="BY5" s="88"/>
      <c r="BZ5" s="88"/>
      <c r="CA5" s="88"/>
      <c r="CB5" s="88"/>
      <c r="CC5" s="88"/>
      <c r="CD5" s="88"/>
      <c r="CE5" s="88"/>
      <c r="CF5" s="88"/>
      <c r="CG5" s="88"/>
      <c r="CH5" s="88"/>
      <c r="CI5" s="88"/>
      <c r="CJ5" s="88"/>
      <c r="CK5" s="88"/>
      <c r="CL5" s="88"/>
      <c r="CM5" s="88"/>
      <c r="CN5" s="88"/>
      <c r="CO5" s="88"/>
      <c r="CP5" s="88"/>
      <c r="CQ5" s="88"/>
      <c r="CR5" s="88"/>
      <c r="CS5" s="88"/>
      <c r="CT5" s="88"/>
      <c r="CU5" s="88"/>
      <c r="CV5" s="88"/>
      <c r="CW5" s="88"/>
      <c r="CX5" s="88"/>
      <c r="CY5" s="88"/>
      <c r="CZ5" s="88"/>
      <c r="DA5" s="88"/>
      <c r="DB5" s="88"/>
      <c r="DC5" s="88"/>
      <c r="DD5" s="88"/>
      <c r="DE5" s="88"/>
      <c r="DF5" s="88"/>
      <c r="DG5" s="88"/>
      <c r="DH5" s="88"/>
      <c r="DI5" s="88"/>
      <c r="DJ5" s="88"/>
      <c r="DK5" s="88"/>
      <c r="DL5" s="88"/>
      <c r="DM5" s="88"/>
      <c r="DN5" s="88"/>
      <c r="DO5" s="88"/>
      <c r="DP5" s="88"/>
      <c r="DQ5" s="88"/>
      <c r="DR5" s="88"/>
      <c r="DS5" s="88"/>
      <c r="DT5" s="88"/>
      <c r="DU5" s="88"/>
      <c r="DV5" s="88"/>
      <c r="DW5" s="88"/>
      <c r="DX5" s="88"/>
      <c r="DY5" s="88"/>
      <c r="DZ5" s="88"/>
      <c r="EA5" s="88"/>
      <c r="EB5" s="88"/>
      <c r="EC5" s="88"/>
      <c r="ED5" s="88"/>
      <c r="EE5" s="88"/>
      <c r="EF5" s="88"/>
      <c r="EG5" s="88"/>
      <c r="EH5" s="88"/>
      <c r="EI5" s="88"/>
      <c r="EJ5" s="88"/>
      <c r="EK5" s="88"/>
      <c r="EL5" s="88"/>
      <c r="EM5" s="88"/>
      <c r="EN5" s="88"/>
      <c r="EO5" s="88"/>
      <c r="EP5" s="88"/>
      <c r="EQ5" s="88"/>
      <c r="ER5" s="88"/>
      <c r="ES5" s="88"/>
      <c r="ET5" s="88"/>
      <c r="EU5" s="88"/>
      <c r="EV5" s="88"/>
      <c r="EW5" s="88"/>
      <c r="EX5" s="88"/>
      <c r="EY5" s="88"/>
      <c r="EZ5" s="88"/>
      <c r="FA5" s="88"/>
      <c r="FB5" s="88"/>
      <c r="FC5" s="88"/>
      <c r="FD5" s="88"/>
      <c r="FE5" s="88"/>
      <c r="FF5" s="88"/>
      <c r="FG5" s="88"/>
      <c r="FH5" s="88"/>
      <c r="FI5" s="88"/>
      <c r="FJ5" s="88"/>
      <c r="FK5" s="88"/>
      <c r="FL5" s="88"/>
      <c r="FM5" s="88"/>
      <c r="FN5" s="88"/>
      <c r="FO5" s="88"/>
      <c r="FP5" s="88"/>
      <c r="FQ5" s="88"/>
      <c r="FR5" s="88"/>
      <c r="FS5" s="88"/>
      <c r="FT5" s="88"/>
      <c r="FU5" s="88"/>
      <c r="FV5" s="88"/>
      <c r="FW5" s="88"/>
      <c r="FX5" s="88"/>
      <c r="FY5" s="88"/>
      <c r="FZ5" s="88"/>
      <c r="GA5" s="88"/>
      <c r="GB5" s="88"/>
      <c r="GC5" s="88"/>
      <c r="GD5" s="88"/>
      <c r="GE5" s="88"/>
      <c r="GF5" s="88"/>
      <c r="GG5" s="88"/>
      <c r="GH5" s="88"/>
      <c r="GI5" s="88"/>
      <c r="GJ5" s="88"/>
      <c r="GK5" s="88"/>
      <c r="GL5" s="88"/>
      <c r="GM5" s="88"/>
      <c r="GN5" s="88"/>
      <c r="GO5" s="88"/>
      <c r="GP5" s="88"/>
      <c r="GQ5" s="88"/>
      <c r="GR5" s="88"/>
      <c r="GS5" s="88"/>
      <c r="GT5" s="88"/>
      <c r="GU5" s="88"/>
      <c r="GV5" s="88"/>
      <c r="GW5" s="88"/>
      <c r="GX5" s="88"/>
      <c r="GY5" s="88"/>
      <c r="GZ5" s="88"/>
      <c r="HA5" s="88"/>
      <c r="HB5" s="88"/>
      <c r="HC5" s="88"/>
      <c r="HD5" s="88"/>
      <c r="HE5" s="88"/>
      <c r="HF5" s="88"/>
      <c r="HG5" s="88"/>
      <c r="HH5" s="88"/>
      <c r="HI5" s="88"/>
      <c r="HJ5" s="88"/>
      <c r="HK5" s="88"/>
      <c r="HL5" s="88"/>
      <c r="HM5" s="88"/>
      <c r="HN5" s="88"/>
      <c r="HO5" s="88"/>
      <c r="HP5" s="88"/>
      <c r="HQ5" s="88"/>
      <c r="HR5" s="88"/>
      <c r="HS5" s="88"/>
      <c r="HT5" s="88"/>
      <c r="HU5" s="88"/>
      <c r="HV5" s="88"/>
      <c r="HW5" s="88"/>
      <c r="HX5" s="88"/>
      <c r="HY5" s="88"/>
      <c r="HZ5" s="88"/>
      <c r="IA5" s="88"/>
      <c r="IB5" s="88"/>
      <c r="IC5" s="88"/>
    </row>
    <row r="6" spans="1:237" ht="16.5" customHeight="1" x14ac:dyDescent="0.25">
      <c r="A6" s="96" t="str">
        <f>IF('Mức lương'!A9="","",'Mức lương'!A9)</f>
        <v>I</v>
      </c>
      <c r="B6" s="90" t="str">
        <f>IF('Mức lương'!B9="","",'Mức lương'!B9)</f>
        <v>BỘ PHẬN LÁI XE</v>
      </c>
      <c r="C6" s="83" t="str">
        <f>IF(B6="","",IFERROR(IF(INDEX('Mức lương'!$C$8:$C$62,MATCH($B6,'Mức lương'!$B$8:$B$62,0))="","",INDEX('Mức lương'!$C$8:$C$62,MATCH($B6,'Mức lương'!$B$8:$B$62,0))),""))</f>
        <v/>
      </c>
      <c r="D6" s="84"/>
      <c r="E6" s="84"/>
      <c r="F6" s="84"/>
      <c r="G6" s="85">
        <f t="shared" si="0"/>
        <v>0</v>
      </c>
      <c r="H6" s="86">
        <f t="shared" si="1"/>
        <v>0</v>
      </c>
      <c r="I6" s="87">
        <f t="shared" si="2"/>
        <v>0</v>
      </c>
      <c r="J6" s="94"/>
      <c r="K6" s="94"/>
      <c r="L6" s="88"/>
      <c r="M6" s="88"/>
      <c r="N6" s="88"/>
      <c r="O6" s="88"/>
      <c r="P6" s="89"/>
      <c r="Q6" s="88"/>
      <c r="R6" s="88"/>
      <c r="S6" s="88"/>
      <c r="T6" s="88"/>
      <c r="U6" s="88"/>
      <c r="V6" s="8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c r="AZ6" s="88"/>
      <c r="BA6" s="88"/>
      <c r="BB6" s="88"/>
      <c r="BC6" s="88"/>
      <c r="BD6" s="88"/>
      <c r="BE6" s="88"/>
      <c r="BF6" s="88"/>
      <c r="BG6" s="88"/>
      <c r="BH6" s="88"/>
      <c r="BI6" s="88"/>
      <c r="BJ6" s="88"/>
      <c r="BK6" s="88"/>
      <c r="BL6" s="88"/>
      <c r="BM6" s="88"/>
      <c r="BN6" s="88"/>
      <c r="BO6" s="88"/>
      <c r="BP6" s="88"/>
      <c r="BQ6" s="88"/>
      <c r="BR6" s="88"/>
      <c r="BS6" s="88"/>
      <c r="BT6" s="88"/>
      <c r="BU6" s="88"/>
      <c r="BV6" s="88"/>
      <c r="BW6" s="88"/>
      <c r="BX6" s="88"/>
      <c r="BY6" s="88"/>
      <c r="BZ6" s="88"/>
      <c r="CA6" s="88"/>
      <c r="CB6" s="88"/>
      <c r="CC6" s="88"/>
      <c r="CD6" s="88"/>
      <c r="CE6" s="88"/>
      <c r="CF6" s="88"/>
      <c r="CG6" s="88"/>
      <c r="CH6" s="88"/>
      <c r="CI6" s="88"/>
      <c r="CJ6" s="88"/>
      <c r="CK6" s="88"/>
      <c r="CL6" s="88"/>
      <c r="CM6" s="88"/>
      <c r="CN6" s="88"/>
      <c r="CO6" s="88"/>
      <c r="CP6" s="88"/>
      <c r="CQ6" s="88"/>
      <c r="CR6" s="88"/>
      <c r="CS6" s="88"/>
      <c r="CT6" s="88"/>
      <c r="CU6" s="88"/>
      <c r="CV6" s="88"/>
      <c r="CW6" s="88"/>
      <c r="CX6" s="88"/>
      <c r="CY6" s="88"/>
      <c r="CZ6" s="88"/>
      <c r="DA6" s="88"/>
      <c r="DB6" s="88"/>
      <c r="DC6" s="88"/>
      <c r="DD6" s="88"/>
      <c r="DE6" s="88"/>
      <c r="DF6" s="88"/>
      <c r="DG6" s="88"/>
      <c r="DH6" s="88"/>
      <c r="DI6" s="88"/>
      <c r="DJ6" s="88"/>
      <c r="DK6" s="88"/>
      <c r="DL6" s="88"/>
      <c r="DM6" s="88"/>
      <c r="DN6" s="88"/>
      <c r="DO6" s="88"/>
      <c r="DP6" s="88"/>
      <c r="DQ6" s="88"/>
      <c r="DR6" s="88"/>
      <c r="DS6" s="88"/>
      <c r="DT6" s="88"/>
      <c r="DU6" s="88"/>
      <c r="DV6" s="88"/>
      <c r="DW6" s="88"/>
      <c r="DX6" s="88"/>
      <c r="DY6" s="88"/>
      <c r="DZ6" s="88"/>
      <c r="EA6" s="88"/>
      <c r="EB6" s="88"/>
      <c r="EC6" s="88"/>
      <c r="ED6" s="88"/>
      <c r="EE6" s="88"/>
      <c r="EF6" s="88"/>
      <c r="EG6" s="88"/>
      <c r="EH6" s="88"/>
      <c r="EI6" s="88"/>
      <c r="EJ6" s="88"/>
      <c r="EK6" s="88"/>
      <c r="EL6" s="88"/>
      <c r="EM6" s="88"/>
      <c r="EN6" s="88"/>
      <c r="EO6" s="88"/>
      <c r="EP6" s="88"/>
      <c r="EQ6" s="88"/>
      <c r="ER6" s="88"/>
      <c r="ES6" s="88"/>
      <c r="ET6" s="88"/>
      <c r="EU6" s="88"/>
      <c r="EV6" s="88"/>
      <c r="EW6" s="88"/>
      <c r="EX6" s="88"/>
      <c r="EY6" s="88"/>
      <c r="EZ6" s="88"/>
      <c r="FA6" s="88"/>
      <c r="FB6" s="88"/>
      <c r="FC6" s="88"/>
      <c r="FD6" s="88"/>
      <c r="FE6" s="88"/>
      <c r="FF6" s="88"/>
      <c r="FG6" s="88"/>
      <c r="FH6" s="88"/>
      <c r="FI6" s="88"/>
      <c r="FJ6" s="88"/>
      <c r="FK6" s="88"/>
      <c r="FL6" s="88"/>
      <c r="FM6" s="88"/>
      <c r="FN6" s="88"/>
      <c r="FO6" s="88"/>
      <c r="FP6" s="88"/>
      <c r="FQ6" s="88"/>
      <c r="FR6" s="88"/>
      <c r="FS6" s="88"/>
      <c r="FT6" s="88"/>
      <c r="FU6" s="88"/>
      <c r="FV6" s="88"/>
      <c r="FW6" s="88"/>
      <c r="FX6" s="88"/>
      <c r="FY6" s="88"/>
      <c r="FZ6" s="88"/>
      <c r="GA6" s="88"/>
      <c r="GB6" s="88"/>
      <c r="GC6" s="88"/>
      <c r="GD6" s="88"/>
      <c r="GE6" s="88"/>
      <c r="GF6" s="88"/>
      <c r="GG6" s="88"/>
      <c r="GH6" s="88"/>
      <c r="GI6" s="88"/>
      <c r="GJ6" s="88"/>
      <c r="GK6" s="88"/>
      <c r="GL6" s="88"/>
      <c r="GM6" s="88"/>
      <c r="GN6" s="88"/>
      <c r="GO6" s="88"/>
      <c r="GP6" s="88"/>
      <c r="GQ6" s="88"/>
      <c r="GR6" s="88"/>
      <c r="GS6" s="88"/>
      <c r="GT6" s="88"/>
      <c r="GU6" s="88"/>
      <c r="GV6" s="88"/>
      <c r="GW6" s="88"/>
      <c r="GX6" s="88"/>
      <c r="GY6" s="88"/>
      <c r="GZ6" s="88"/>
      <c r="HA6" s="88"/>
      <c r="HB6" s="88"/>
      <c r="HC6" s="88"/>
      <c r="HD6" s="88"/>
      <c r="HE6" s="88"/>
      <c r="HF6" s="88"/>
      <c r="HG6" s="88"/>
      <c r="HH6" s="88"/>
      <c r="HI6" s="88"/>
      <c r="HJ6" s="88"/>
      <c r="HK6" s="88"/>
      <c r="HL6" s="88"/>
      <c r="HM6" s="88"/>
      <c r="HN6" s="88"/>
      <c r="HO6" s="88"/>
      <c r="HP6" s="88"/>
      <c r="HQ6" s="88"/>
      <c r="HR6" s="88"/>
      <c r="HS6" s="88"/>
      <c r="HT6" s="88"/>
      <c r="HU6" s="88"/>
      <c r="HV6" s="88"/>
      <c r="HW6" s="88"/>
      <c r="HX6" s="88"/>
      <c r="HY6" s="88"/>
      <c r="HZ6" s="88"/>
      <c r="IA6" s="88"/>
      <c r="IB6" s="88"/>
      <c r="IC6" s="88"/>
    </row>
    <row r="7" spans="1:237" ht="16.5" customHeight="1" x14ac:dyDescent="0.25">
      <c r="A7" s="43">
        <f>IF('Mức lương'!A10="","",'Mức lương'!A10)</f>
        <v>2</v>
      </c>
      <c r="B7" s="83" t="str">
        <f>IF('Mức lương'!B10="","",'Mức lương'!B10)</f>
        <v>NGUYỄN VĂN LỢI</v>
      </c>
      <c r="C7" s="83" t="str">
        <f>IF(B7="","",IFERROR(IF(INDEX('Mức lương'!$C$8:$C$62,MATCH($B7,'Mức lương'!$B$8:$B$62,0))="","",INDEX('Mức lương'!$C$8:$C$62,MATCH($B7,'Mức lương'!$B$8:$B$62,0))),""))</f>
        <v>Tài xế xe tải</v>
      </c>
      <c r="D7" s="84">
        <v>10000000</v>
      </c>
      <c r="E7" s="84"/>
      <c r="F7" s="84">
        <v>11525473.4</v>
      </c>
      <c r="G7" s="85">
        <f t="shared" si="0"/>
        <v>21525473.399999999</v>
      </c>
      <c r="H7" s="86">
        <f t="shared" si="1"/>
        <v>21525473.399999999</v>
      </c>
      <c r="I7" s="87">
        <f t="shared" si="2"/>
        <v>0</v>
      </c>
      <c r="J7" s="88"/>
      <c r="K7" s="94"/>
      <c r="L7" s="88"/>
      <c r="M7" s="88"/>
      <c r="N7" s="88"/>
      <c r="O7" s="88"/>
      <c r="P7" s="89"/>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8"/>
      <c r="BB7" s="88"/>
      <c r="BC7" s="88"/>
      <c r="BD7" s="88"/>
      <c r="BE7" s="88"/>
      <c r="BF7" s="88"/>
      <c r="BG7" s="88"/>
      <c r="BH7" s="88"/>
      <c r="BI7" s="88"/>
      <c r="BJ7" s="88"/>
      <c r="BK7" s="88"/>
      <c r="BL7" s="88"/>
      <c r="BM7" s="88"/>
      <c r="BN7" s="88"/>
      <c r="BO7" s="88"/>
      <c r="BP7" s="88"/>
      <c r="BQ7" s="88"/>
      <c r="BR7" s="88"/>
      <c r="BS7" s="88"/>
      <c r="BT7" s="88"/>
      <c r="BU7" s="88"/>
      <c r="BV7" s="88"/>
      <c r="BW7" s="88"/>
      <c r="BX7" s="88"/>
      <c r="BY7" s="88"/>
      <c r="BZ7" s="88"/>
      <c r="CA7" s="88"/>
      <c r="CB7" s="88"/>
      <c r="CC7" s="88"/>
      <c r="CD7" s="88"/>
      <c r="CE7" s="88"/>
      <c r="CF7" s="88"/>
      <c r="CG7" s="88"/>
      <c r="CH7" s="88"/>
      <c r="CI7" s="88"/>
      <c r="CJ7" s="88"/>
      <c r="CK7" s="88"/>
      <c r="CL7" s="88"/>
      <c r="CM7" s="88"/>
      <c r="CN7" s="88"/>
      <c r="CO7" s="88"/>
      <c r="CP7" s="88"/>
      <c r="CQ7" s="88"/>
      <c r="CR7" s="88"/>
      <c r="CS7" s="88"/>
      <c r="CT7" s="88"/>
      <c r="CU7" s="88"/>
      <c r="CV7" s="88"/>
      <c r="CW7" s="88"/>
      <c r="CX7" s="88"/>
      <c r="CY7" s="88"/>
      <c r="CZ7" s="88"/>
      <c r="DA7" s="88"/>
      <c r="DB7" s="88"/>
      <c r="DC7" s="88"/>
      <c r="DD7" s="88"/>
      <c r="DE7" s="88"/>
      <c r="DF7" s="88"/>
      <c r="DG7" s="88"/>
      <c r="DH7" s="88"/>
      <c r="DI7" s="88"/>
      <c r="DJ7" s="88"/>
      <c r="DK7" s="88"/>
      <c r="DL7" s="88"/>
      <c r="DM7" s="88"/>
      <c r="DN7" s="88"/>
      <c r="DO7" s="88"/>
      <c r="DP7" s="88"/>
      <c r="DQ7" s="88"/>
      <c r="DR7" s="88"/>
      <c r="DS7" s="88"/>
      <c r="DT7" s="88"/>
      <c r="DU7" s="88"/>
      <c r="DV7" s="88"/>
      <c r="DW7" s="88"/>
      <c r="DX7" s="88"/>
      <c r="DY7" s="88"/>
      <c r="DZ7" s="88"/>
      <c r="EA7" s="88"/>
      <c r="EB7" s="88"/>
      <c r="EC7" s="88"/>
      <c r="ED7" s="88"/>
      <c r="EE7" s="88"/>
      <c r="EF7" s="88"/>
      <c r="EG7" s="88"/>
      <c r="EH7" s="88"/>
      <c r="EI7" s="88"/>
      <c r="EJ7" s="88"/>
      <c r="EK7" s="88"/>
      <c r="EL7" s="88"/>
      <c r="EM7" s="88"/>
      <c r="EN7" s="88"/>
      <c r="EO7" s="88"/>
      <c r="EP7" s="88"/>
      <c r="EQ7" s="88"/>
      <c r="ER7" s="88"/>
      <c r="ES7" s="88"/>
      <c r="ET7" s="88"/>
      <c r="EU7" s="88"/>
      <c r="EV7" s="88"/>
      <c r="EW7" s="88"/>
      <c r="EX7" s="88"/>
      <c r="EY7" s="88"/>
      <c r="EZ7" s="88"/>
      <c r="FA7" s="88"/>
      <c r="FB7" s="88"/>
      <c r="FC7" s="88"/>
      <c r="FD7" s="88"/>
      <c r="FE7" s="88"/>
      <c r="FF7" s="88"/>
      <c r="FG7" s="88"/>
      <c r="FH7" s="88"/>
      <c r="FI7" s="88"/>
      <c r="FJ7" s="88"/>
      <c r="FK7" s="88"/>
      <c r="FL7" s="88"/>
      <c r="FM7" s="88"/>
      <c r="FN7" s="88"/>
      <c r="FO7" s="88"/>
      <c r="FP7" s="88"/>
      <c r="FQ7" s="88"/>
      <c r="FR7" s="88"/>
      <c r="FS7" s="88"/>
      <c r="FT7" s="88"/>
      <c r="FU7" s="88"/>
      <c r="FV7" s="88"/>
      <c r="FW7" s="88"/>
      <c r="FX7" s="88"/>
      <c r="FY7" s="88"/>
      <c r="FZ7" s="88"/>
      <c r="GA7" s="88"/>
      <c r="GB7" s="88"/>
      <c r="GC7" s="88"/>
      <c r="GD7" s="88"/>
      <c r="GE7" s="88"/>
      <c r="GF7" s="88"/>
      <c r="GG7" s="88"/>
      <c r="GH7" s="88"/>
      <c r="GI7" s="88"/>
      <c r="GJ7" s="88"/>
      <c r="GK7" s="88"/>
      <c r="GL7" s="88"/>
      <c r="GM7" s="88"/>
      <c r="GN7" s="88"/>
      <c r="GO7" s="88"/>
      <c r="GP7" s="88"/>
      <c r="GQ7" s="88"/>
      <c r="GR7" s="88"/>
      <c r="GS7" s="88"/>
      <c r="GT7" s="88"/>
      <c r="GU7" s="88"/>
      <c r="GV7" s="88"/>
      <c r="GW7" s="88"/>
      <c r="GX7" s="88"/>
      <c r="GY7" s="88"/>
      <c r="GZ7" s="88"/>
      <c r="HA7" s="88"/>
      <c r="HB7" s="88"/>
      <c r="HC7" s="88"/>
      <c r="HD7" s="88"/>
      <c r="HE7" s="88"/>
      <c r="HF7" s="88"/>
      <c r="HG7" s="88"/>
      <c r="HH7" s="88"/>
      <c r="HI7" s="88"/>
      <c r="HJ7" s="88"/>
      <c r="HK7" s="88"/>
      <c r="HL7" s="88"/>
      <c r="HM7" s="88"/>
      <c r="HN7" s="88"/>
      <c r="HO7" s="88"/>
      <c r="HP7" s="88"/>
      <c r="HQ7" s="88"/>
      <c r="HR7" s="88"/>
      <c r="HS7" s="88"/>
      <c r="HT7" s="88"/>
      <c r="HU7" s="88"/>
      <c r="HV7" s="88"/>
      <c r="HW7" s="88"/>
      <c r="HX7" s="88"/>
      <c r="HY7" s="88"/>
      <c r="HZ7" s="88"/>
      <c r="IA7" s="88"/>
      <c r="IB7" s="88"/>
      <c r="IC7" s="88"/>
    </row>
    <row r="8" spans="1:237" ht="13.5" customHeight="1" x14ac:dyDescent="0.3">
      <c r="G8" s="97"/>
      <c r="H8" s="98"/>
    </row>
    <row r="9" spans="1:237" ht="13.5" customHeight="1" x14ac:dyDescent="0.3">
      <c r="A9" s="99"/>
      <c r="B9" s="64"/>
      <c r="C9" s="52"/>
      <c r="D9" s="94"/>
      <c r="E9" s="94"/>
      <c r="F9" s="94"/>
      <c r="G9" s="11"/>
      <c r="H9" s="11"/>
      <c r="I9" s="76"/>
      <c r="J9" s="76"/>
      <c r="K9" s="76"/>
      <c r="L9" s="76"/>
      <c r="M9" s="76"/>
      <c r="N9" s="76"/>
      <c r="O9" s="76"/>
      <c r="P9" s="77"/>
      <c r="Q9" s="76"/>
      <c r="R9" s="76"/>
      <c r="S9" s="76"/>
      <c r="T9" s="76"/>
      <c r="U9" s="76"/>
      <c r="V9" s="76"/>
      <c r="W9" s="76"/>
      <c r="X9" s="76"/>
      <c r="Y9" s="76"/>
      <c r="Z9" s="76"/>
      <c r="AA9" s="76"/>
      <c r="AB9" s="76"/>
      <c r="AC9" s="76"/>
      <c r="AD9" s="76"/>
      <c r="AE9" s="76"/>
      <c r="AF9" s="76"/>
      <c r="AG9" s="76"/>
      <c r="AH9" s="76"/>
      <c r="AI9" s="76"/>
      <c r="AJ9" s="76"/>
      <c r="AK9" s="76"/>
      <c r="AL9" s="76"/>
      <c r="AM9" s="76"/>
      <c r="AN9" s="76"/>
      <c r="AO9" s="76"/>
      <c r="AP9" s="76"/>
      <c r="AQ9" s="76"/>
      <c r="AR9" s="76"/>
      <c r="AS9" s="76"/>
      <c r="AT9" s="76"/>
      <c r="AU9" s="76"/>
      <c r="AV9" s="76"/>
      <c r="AW9" s="76"/>
      <c r="AX9" s="76"/>
      <c r="AY9" s="76"/>
      <c r="AZ9" s="76"/>
      <c r="BA9" s="76"/>
      <c r="BB9" s="76"/>
      <c r="BC9" s="76"/>
      <c r="BD9" s="76"/>
      <c r="BE9" s="76"/>
      <c r="BF9" s="76"/>
      <c r="BG9" s="76"/>
      <c r="BH9" s="76"/>
      <c r="BI9" s="76"/>
      <c r="BJ9" s="76"/>
      <c r="BK9" s="76"/>
      <c r="BL9" s="76"/>
      <c r="BM9" s="76"/>
      <c r="BN9" s="76"/>
      <c r="BO9" s="76"/>
      <c r="BP9" s="76"/>
      <c r="BQ9" s="76"/>
      <c r="BR9" s="76"/>
      <c r="BS9" s="76"/>
      <c r="BT9" s="76"/>
      <c r="BU9" s="76"/>
      <c r="BV9" s="76"/>
      <c r="BW9" s="76"/>
      <c r="BX9" s="76"/>
      <c r="BY9" s="76"/>
      <c r="BZ9" s="76"/>
      <c r="CA9" s="76"/>
      <c r="CB9" s="76"/>
      <c r="CC9" s="76"/>
      <c r="CD9" s="76"/>
      <c r="CE9" s="76"/>
      <c r="CF9" s="76"/>
      <c r="CG9" s="76"/>
      <c r="CH9" s="76"/>
      <c r="CI9" s="76"/>
      <c r="CJ9" s="76"/>
      <c r="CK9" s="76"/>
      <c r="CL9" s="76"/>
      <c r="CM9" s="76"/>
      <c r="CN9" s="76"/>
      <c r="CO9" s="76"/>
      <c r="CP9" s="76"/>
      <c r="CQ9" s="76"/>
      <c r="CR9" s="76"/>
      <c r="CS9" s="76"/>
      <c r="CT9" s="76"/>
      <c r="CU9" s="76"/>
      <c r="CV9" s="76"/>
      <c r="CW9" s="76"/>
      <c r="CX9" s="76"/>
      <c r="CY9" s="76"/>
      <c r="CZ9" s="76"/>
      <c r="DA9" s="76"/>
      <c r="DB9" s="76"/>
      <c r="DC9" s="76"/>
      <c r="DD9" s="76"/>
      <c r="DE9" s="76"/>
      <c r="DF9" s="76"/>
      <c r="DG9" s="76"/>
      <c r="DH9" s="76"/>
      <c r="DI9" s="76"/>
      <c r="DJ9" s="76"/>
      <c r="DK9" s="76"/>
      <c r="DL9" s="76"/>
      <c r="DM9" s="76"/>
      <c r="DN9" s="76"/>
      <c r="DO9" s="76"/>
      <c r="DP9" s="76"/>
      <c r="DQ9" s="76"/>
      <c r="DR9" s="76"/>
      <c r="DS9" s="76"/>
      <c r="DT9" s="76"/>
      <c r="DU9" s="76"/>
      <c r="DV9" s="76"/>
      <c r="DW9" s="76"/>
      <c r="DX9" s="76"/>
      <c r="DY9" s="76"/>
      <c r="DZ9" s="76"/>
      <c r="EA9" s="76"/>
      <c r="EB9" s="76"/>
      <c r="EC9" s="76"/>
      <c r="ED9" s="76"/>
      <c r="EE9" s="76"/>
      <c r="EF9" s="76"/>
      <c r="EG9" s="76"/>
      <c r="EH9" s="76"/>
      <c r="EI9" s="76"/>
      <c r="EJ9" s="76"/>
      <c r="EK9" s="76"/>
      <c r="EL9" s="76"/>
      <c r="EM9" s="76"/>
      <c r="EN9" s="76"/>
      <c r="EO9" s="76"/>
      <c r="EP9" s="76"/>
      <c r="EQ9" s="76"/>
      <c r="ER9" s="76"/>
      <c r="ES9" s="76"/>
      <c r="ET9" s="76"/>
      <c r="EU9" s="76"/>
      <c r="EV9" s="76"/>
      <c r="EW9" s="76"/>
      <c r="EX9" s="76"/>
      <c r="EY9" s="76"/>
      <c r="EZ9" s="76"/>
      <c r="FA9" s="76"/>
      <c r="FB9" s="76"/>
      <c r="FC9" s="76"/>
      <c r="FD9" s="76"/>
      <c r="FE9" s="76"/>
      <c r="FF9" s="76"/>
      <c r="FG9" s="76"/>
      <c r="FH9" s="76"/>
      <c r="FI9" s="76"/>
      <c r="FJ9" s="76"/>
      <c r="FK9" s="76"/>
      <c r="FL9" s="76"/>
      <c r="FM9" s="76"/>
      <c r="FN9" s="76"/>
      <c r="FO9" s="76"/>
      <c r="FP9" s="76"/>
      <c r="FQ9" s="76"/>
      <c r="FR9" s="76"/>
      <c r="FS9" s="76"/>
      <c r="FT9" s="76"/>
      <c r="FU9" s="76"/>
      <c r="FV9" s="76"/>
      <c r="FW9" s="76"/>
      <c r="FX9" s="76"/>
      <c r="FY9" s="76"/>
      <c r="FZ9" s="76"/>
      <c r="GA9" s="76"/>
      <c r="GB9" s="76"/>
      <c r="GC9" s="76"/>
      <c r="GD9" s="76"/>
      <c r="GE9" s="76"/>
      <c r="GF9" s="76"/>
      <c r="GG9" s="76"/>
      <c r="GH9" s="76"/>
      <c r="GI9" s="76"/>
      <c r="GJ9" s="76"/>
      <c r="GK9" s="76"/>
      <c r="GL9" s="76"/>
      <c r="GM9" s="76"/>
      <c r="GN9" s="76"/>
      <c r="GO9" s="76"/>
      <c r="GP9" s="76"/>
      <c r="GQ9" s="76"/>
      <c r="GR9" s="76"/>
      <c r="GS9" s="76"/>
      <c r="GT9" s="76"/>
      <c r="GU9" s="76"/>
      <c r="GV9" s="76"/>
      <c r="GW9" s="76"/>
      <c r="GX9" s="76"/>
      <c r="GY9" s="76"/>
      <c r="GZ9" s="76"/>
      <c r="HA9" s="76"/>
      <c r="HB9" s="76"/>
      <c r="HC9" s="76"/>
      <c r="HD9" s="76"/>
      <c r="HE9" s="76"/>
      <c r="HF9" s="76"/>
      <c r="HG9" s="76"/>
      <c r="HH9" s="76"/>
      <c r="HI9" s="76"/>
      <c r="HJ9" s="76"/>
      <c r="HK9" s="76"/>
      <c r="HL9" s="76"/>
      <c r="HM9" s="76"/>
      <c r="HN9" s="76"/>
      <c r="HO9" s="76"/>
      <c r="HP9" s="76"/>
      <c r="HQ9" s="76"/>
      <c r="HR9" s="76"/>
      <c r="HS9" s="76"/>
      <c r="HT9" s="76"/>
      <c r="HU9" s="76"/>
      <c r="HV9" s="76"/>
      <c r="HW9" s="76"/>
      <c r="HX9" s="76"/>
      <c r="HY9" s="76"/>
      <c r="HZ9" s="76"/>
      <c r="IA9" s="76"/>
      <c r="IB9" s="76"/>
      <c r="IC9" s="76"/>
    </row>
    <row r="10" spans="1:237" ht="13.5" customHeight="1" x14ac:dyDescent="0.3">
      <c r="A10" s="100"/>
      <c r="B10" s="100"/>
      <c r="C10" s="100"/>
      <c r="D10" s="101"/>
      <c r="E10" s="101"/>
      <c r="F10" s="101"/>
      <c r="G10" s="100"/>
      <c r="H10" s="100"/>
      <c r="I10" s="91"/>
      <c r="J10" s="91"/>
      <c r="K10" s="92"/>
      <c r="L10" s="92"/>
      <c r="M10" s="92"/>
      <c r="N10" s="92"/>
      <c r="O10" s="92"/>
      <c r="P10" s="93"/>
      <c r="Q10" s="92"/>
      <c r="R10" s="92"/>
      <c r="S10" s="92"/>
      <c r="T10" s="92"/>
      <c r="U10" s="92"/>
      <c r="V10" s="92"/>
      <c r="W10" s="92"/>
      <c r="X10" s="92"/>
      <c r="Y10" s="92"/>
      <c r="Z10" s="92"/>
      <c r="AA10" s="92"/>
      <c r="AB10" s="92"/>
      <c r="AC10" s="92"/>
      <c r="AD10" s="92"/>
      <c r="AE10" s="92"/>
      <c r="AF10" s="92"/>
      <c r="AG10" s="92"/>
      <c r="AH10" s="92"/>
      <c r="AI10" s="92"/>
      <c r="AJ10" s="92"/>
      <c r="AK10" s="92"/>
      <c r="AL10" s="92"/>
      <c r="AM10" s="92"/>
      <c r="AN10" s="92"/>
      <c r="AO10" s="92"/>
      <c r="AP10" s="92"/>
      <c r="AQ10" s="92"/>
      <c r="AR10" s="92"/>
      <c r="AS10" s="92"/>
      <c r="AT10" s="92"/>
      <c r="AU10" s="92"/>
      <c r="AV10" s="92"/>
      <c r="AW10" s="92"/>
      <c r="AX10" s="92"/>
      <c r="AY10" s="92"/>
      <c r="AZ10" s="92"/>
      <c r="BA10" s="92"/>
      <c r="BB10" s="92"/>
      <c r="BC10" s="92"/>
      <c r="BD10" s="92"/>
      <c r="BE10" s="92"/>
      <c r="BF10" s="92"/>
      <c r="BG10" s="92"/>
      <c r="BH10" s="92"/>
      <c r="BI10" s="92"/>
      <c r="BJ10" s="92"/>
      <c r="BK10" s="92"/>
      <c r="BL10" s="92"/>
      <c r="BM10" s="92"/>
      <c r="BN10" s="92"/>
      <c r="BO10" s="92"/>
      <c r="BP10" s="92"/>
      <c r="BQ10" s="92"/>
      <c r="BR10" s="92"/>
      <c r="BS10" s="92"/>
      <c r="BT10" s="92"/>
      <c r="BU10" s="92"/>
      <c r="BV10" s="92"/>
      <c r="BW10" s="92"/>
      <c r="BX10" s="92"/>
      <c r="BY10" s="92"/>
      <c r="BZ10" s="92"/>
      <c r="CA10" s="92"/>
      <c r="CB10" s="92"/>
      <c r="CC10" s="92"/>
      <c r="CD10" s="92"/>
      <c r="CE10" s="92"/>
      <c r="CF10" s="92"/>
      <c r="CG10" s="92"/>
      <c r="CH10" s="92"/>
      <c r="CI10" s="92"/>
      <c r="CJ10" s="92"/>
      <c r="CK10" s="92"/>
      <c r="CL10" s="92"/>
      <c r="CM10" s="92"/>
      <c r="CN10" s="92"/>
      <c r="CO10" s="92"/>
      <c r="CP10" s="92"/>
      <c r="CQ10" s="92"/>
      <c r="CR10" s="92"/>
      <c r="CS10" s="92"/>
      <c r="CT10" s="92"/>
      <c r="CU10" s="92"/>
      <c r="CV10" s="92"/>
      <c r="CW10" s="92"/>
      <c r="CX10" s="92"/>
      <c r="CY10" s="92"/>
      <c r="CZ10" s="92"/>
      <c r="DA10" s="92"/>
      <c r="DB10" s="92"/>
      <c r="DC10" s="92"/>
      <c r="DD10" s="92"/>
      <c r="DE10" s="92"/>
      <c r="DF10" s="92"/>
      <c r="DG10" s="92"/>
      <c r="DH10" s="92"/>
      <c r="DI10" s="92"/>
      <c r="DJ10" s="92"/>
      <c r="DK10" s="92"/>
      <c r="DL10" s="92"/>
      <c r="DM10" s="92"/>
      <c r="DN10" s="92"/>
      <c r="DO10" s="92"/>
      <c r="DP10" s="92"/>
      <c r="DQ10" s="92"/>
      <c r="DR10" s="92"/>
      <c r="DS10" s="92"/>
      <c r="DT10" s="92"/>
      <c r="DU10" s="92"/>
      <c r="DV10" s="92"/>
      <c r="DW10" s="92"/>
      <c r="DX10" s="92"/>
      <c r="DY10" s="92"/>
      <c r="DZ10" s="92"/>
      <c r="EA10" s="92"/>
      <c r="EB10" s="92"/>
      <c r="EC10" s="92"/>
      <c r="ED10" s="92"/>
      <c r="EE10" s="92"/>
      <c r="EF10" s="92"/>
      <c r="EG10" s="92"/>
      <c r="EH10" s="92"/>
      <c r="EI10" s="92"/>
      <c r="EJ10" s="92"/>
      <c r="EK10" s="92"/>
      <c r="EL10" s="92"/>
      <c r="EM10" s="92"/>
      <c r="EN10" s="92"/>
      <c r="EO10" s="92"/>
      <c r="EP10" s="92"/>
      <c r="EQ10" s="92"/>
      <c r="ER10" s="92"/>
      <c r="ES10" s="92"/>
      <c r="ET10" s="92"/>
      <c r="EU10" s="92"/>
      <c r="EV10" s="92"/>
      <c r="EW10" s="92"/>
      <c r="EX10" s="92"/>
      <c r="EY10" s="92"/>
      <c r="EZ10" s="92"/>
      <c r="FA10" s="92"/>
      <c r="FB10" s="92"/>
      <c r="FC10" s="92"/>
      <c r="FD10" s="92"/>
      <c r="FE10" s="92"/>
      <c r="FF10" s="92"/>
      <c r="FG10" s="92"/>
      <c r="FH10" s="92"/>
      <c r="FI10" s="92"/>
      <c r="FJ10" s="92"/>
      <c r="FK10" s="92"/>
      <c r="FL10" s="92"/>
      <c r="FM10" s="92"/>
      <c r="FN10" s="92"/>
      <c r="FO10" s="92"/>
      <c r="FP10" s="92"/>
      <c r="FQ10" s="92"/>
      <c r="FR10" s="92"/>
      <c r="FS10" s="92"/>
      <c r="FT10" s="92"/>
      <c r="FU10" s="92"/>
      <c r="FV10" s="92"/>
      <c r="FW10" s="92"/>
      <c r="FX10" s="92"/>
      <c r="FY10" s="92"/>
      <c r="FZ10" s="92"/>
      <c r="GA10" s="92"/>
      <c r="GB10" s="92"/>
      <c r="GC10" s="92"/>
      <c r="GD10" s="92"/>
      <c r="GE10" s="92"/>
      <c r="GF10" s="92"/>
      <c r="GG10" s="92"/>
      <c r="GH10" s="92"/>
      <c r="GI10" s="92"/>
      <c r="GJ10" s="92"/>
      <c r="GK10" s="92"/>
      <c r="GL10" s="92"/>
      <c r="GM10" s="92"/>
      <c r="GN10" s="92"/>
      <c r="GO10" s="92"/>
      <c r="GP10" s="92"/>
      <c r="GQ10" s="92"/>
      <c r="GR10" s="92"/>
      <c r="GS10" s="92"/>
      <c r="GT10" s="92"/>
      <c r="GU10" s="92"/>
      <c r="GV10" s="92"/>
      <c r="GW10" s="92"/>
      <c r="GX10" s="92"/>
      <c r="GY10" s="92"/>
      <c r="GZ10" s="92"/>
      <c r="HA10" s="92"/>
      <c r="HB10" s="92"/>
      <c r="HC10" s="92"/>
      <c r="HD10" s="92"/>
      <c r="HE10" s="92"/>
      <c r="HF10" s="92"/>
      <c r="HG10" s="92"/>
      <c r="HH10" s="92"/>
      <c r="HI10" s="92"/>
      <c r="HJ10" s="92"/>
      <c r="HK10" s="92"/>
      <c r="HL10" s="92"/>
      <c r="HM10" s="92"/>
      <c r="HN10" s="92"/>
      <c r="HO10" s="92"/>
      <c r="HP10" s="92"/>
      <c r="HQ10" s="92"/>
      <c r="HR10" s="92"/>
      <c r="HS10" s="92"/>
      <c r="HT10" s="92"/>
      <c r="HU10" s="92"/>
      <c r="HV10" s="92"/>
      <c r="HW10" s="92"/>
      <c r="HX10" s="92"/>
      <c r="HY10" s="92"/>
      <c r="HZ10" s="92"/>
      <c r="IA10" s="92"/>
      <c r="IB10" s="92"/>
      <c r="IC10" s="92"/>
    </row>
    <row r="11" spans="1:237" ht="13.5" customHeight="1" x14ac:dyDescent="0.3">
      <c r="A11" s="102"/>
      <c r="B11" s="102"/>
      <c r="C11" s="102"/>
      <c r="D11" s="103"/>
      <c r="E11" s="103"/>
      <c r="F11" s="103"/>
      <c r="G11" s="102"/>
      <c r="H11" s="102"/>
      <c r="I11" s="31"/>
      <c r="J11" s="31"/>
      <c r="K11" s="76"/>
      <c r="L11" s="76"/>
      <c r="M11" s="76"/>
      <c r="N11" s="76"/>
      <c r="O11" s="76"/>
      <c r="P11" s="77"/>
      <c r="Q11" s="76"/>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6"/>
      <c r="AT11" s="76"/>
      <c r="AU11" s="76"/>
      <c r="AV11" s="76"/>
      <c r="AW11" s="76"/>
      <c r="AX11" s="76"/>
      <c r="AY11" s="76"/>
      <c r="AZ11" s="76"/>
      <c r="BA11" s="76"/>
      <c r="BB11" s="76"/>
      <c r="BC11" s="76"/>
      <c r="BD11" s="76"/>
      <c r="BE11" s="76"/>
      <c r="BF11" s="76"/>
      <c r="BG11" s="76"/>
      <c r="BH11" s="76"/>
      <c r="BI11" s="76"/>
      <c r="BJ11" s="76"/>
      <c r="BK11" s="76"/>
      <c r="BL11" s="76"/>
      <c r="BM11" s="76"/>
      <c r="BN11" s="76"/>
      <c r="BO11" s="76"/>
      <c r="BP11" s="76"/>
      <c r="BQ11" s="76"/>
      <c r="BR11" s="76"/>
      <c r="BS11" s="76"/>
      <c r="BT11" s="76"/>
      <c r="BU11" s="76"/>
      <c r="BV11" s="76"/>
      <c r="BW11" s="76"/>
      <c r="BX11" s="76"/>
      <c r="BY11" s="76"/>
      <c r="BZ11" s="76"/>
      <c r="CA11" s="76"/>
      <c r="CB11" s="76"/>
      <c r="CC11" s="76"/>
      <c r="CD11" s="76"/>
      <c r="CE11" s="76"/>
      <c r="CF11" s="76"/>
      <c r="CG11" s="76"/>
      <c r="CH11" s="76"/>
      <c r="CI11" s="76"/>
      <c r="CJ11" s="76"/>
      <c r="CK11" s="76"/>
      <c r="CL11" s="76"/>
      <c r="CM11" s="76"/>
      <c r="CN11" s="76"/>
      <c r="CO11" s="76"/>
      <c r="CP11" s="76"/>
      <c r="CQ11" s="76"/>
      <c r="CR11" s="76"/>
      <c r="CS11" s="76"/>
      <c r="CT11" s="76"/>
      <c r="CU11" s="76"/>
      <c r="CV11" s="76"/>
      <c r="CW11" s="76"/>
      <c r="CX11" s="76"/>
      <c r="CY11" s="76"/>
      <c r="CZ11" s="76"/>
      <c r="DA11" s="76"/>
      <c r="DB11" s="76"/>
      <c r="DC11" s="76"/>
      <c r="DD11" s="76"/>
      <c r="DE11" s="76"/>
      <c r="DF11" s="76"/>
      <c r="DG11" s="76"/>
      <c r="DH11" s="76"/>
      <c r="DI11" s="76"/>
      <c r="DJ11" s="76"/>
      <c r="DK11" s="76"/>
      <c r="DL11" s="76"/>
      <c r="DM11" s="76"/>
      <c r="DN11" s="76"/>
      <c r="DO11" s="76"/>
      <c r="DP11" s="76"/>
      <c r="DQ11" s="76"/>
      <c r="DR11" s="76"/>
      <c r="DS11" s="76"/>
      <c r="DT11" s="76"/>
      <c r="DU11" s="76"/>
      <c r="DV11" s="76"/>
      <c r="DW11" s="76"/>
      <c r="DX11" s="76"/>
      <c r="DY11" s="76"/>
      <c r="DZ11" s="76"/>
      <c r="EA11" s="76"/>
      <c r="EB11" s="76"/>
      <c r="EC11" s="76"/>
      <c r="ED11" s="76"/>
      <c r="EE11" s="76"/>
      <c r="EF11" s="76"/>
      <c r="EG11" s="76"/>
      <c r="EH11" s="76"/>
      <c r="EI11" s="76"/>
      <c r="EJ11" s="76"/>
      <c r="EK11" s="76"/>
      <c r="EL11" s="76"/>
      <c r="EM11" s="76"/>
      <c r="EN11" s="76"/>
      <c r="EO11" s="76"/>
      <c r="EP11" s="76"/>
      <c r="EQ11" s="76"/>
      <c r="ER11" s="76"/>
      <c r="ES11" s="76"/>
      <c r="ET11" s="76"/>
      <c r="EU11" s="76"/>
      <c r="EV11" s="76"/>
      <c r="EW11" s="76"/>
      <c r="EX11" s="76"/>
      <c r="EY11" s="76"/>
      <c r="EZ11" s="76"/>
      <c r="FA11" s="76"/>
      <c r="FB11" s="76"/>
      <c r="FC11" s="76"/>
      <c r="FD11" s="76"/>
      <c r="FE11" s="76"/>
      <c r="FF11" s="76"/>
      <c r="FG11" s="76"/>
      <c r="FH11" s="76"/>
      <c r="FI11" s="76"/>
      <c r="FJ11" s="76"/>
      <c r="FK11" s="76"/>
      <c r="FL11" s="76"/>
      <c r="FM11" s="76"/>
      <c r="FN11" s="76"/>
      <c r="FO11" s="76"/>
      <c r="FP11" s="76"/>
      <c r="FQ11" s="76"/>
      <c r="FR11" s="76"/>
      <c r="FS11" s="76"/>
      <c r="FT11" s="76"/>
      <c r="FU11" s="76"/>
      <c r="FV11" s="76"/>
      <c r="FW11" s="76"/>
      <c r="FX11" s="76"/>
      <c r="FY11" s="76"/>
      <c r="FZ11" s="76"/>
      <c r="GA11" s="76"/>
      <c r="GB11" s="76"/>
      <c r="GC11" s="76"/>
      <c r="GD11" s="76"/>
      <c r="GE11" s="76"/>
      <c r="GF11" s="76"/>
      <c r="GG11" s="76"/>
      <c r="GH11" s="76"/>
      <c r="GI11" s="76"/>
      <c r="GJ11" s="76"/>
      <c r="GK11" s="76"/>
      <c r="GL11" s="76"/>
      <c r="GM11" s="76"/>
      <c r="GN11" s="76"/>
      <c r="GO11" s="76"/>
      <c r="GP11" s="76"/>
      <c r="GQ11" s="76"/>
      <c r="GR11" s="76"/>
      <c r="GS11" s="76"/>
      <c r="GT11" s="76"/>
      <c r="GU11" s="76"/>
      <c r="GV11" s="76"/>
      <c r="GW11" s="76"/>
      <c r="GX11" s="76"/>
      <c r="GY11" s="76"/>
      <c r="GZ11" s="76"/>
      <c r="HA11" s="76"/>
      <c r="HB11" s="76"/>
      <c r="HC11" s="76"/>
      <c r="HD11" s="76"/>
      <c r="HE11" s="76"/>
      <c r="HF11" s="76"/>
      <c r="HG11" s="76"/>
      <c r="HH11" s="76"/>
      <c r="HI11" s="76"/>
      <c r="HJ11" s="76"/>
      <c r="HK11" s="76"/>
      <c r="HL11" s="76"/>
      <c r="HM11" s="76"/>
      <c r="HN11" s="76"/>
      <c r="HO11" s="76"/>
      <c r="HP11" s="76"/>
      <c r="HQ11" s="76"/>
      <c r="HR11" s="76"/>
      <c r="HS11" s="76"/>
      <c r="HT11" s="76"/>
      <c r="HU11" s="76"/>
      <c r="HV11" s="76"/>
      <c r="HW11" s="76"/>
      <c r="HX11" s="76"/>
      <c r="HY11" s="76"/>
      <c r="HZ11" s="76"/>
      <c r="IA11" s="76"/>
      <c r="IB11" s="76"/>
      <c r="IC11" s="76"/>
    </row>
    <row r="12" spans="1:237" ht="13.5" customHeight="1" x14ac:dyDescent="0.3">
      <c r="A12" s="91"/>
      <c r="B12" s="91"/>
      <c r="C12" s="91"/>
      <c r="D12" s="103"/>
      <c r="E12" s="103"/>
      <c r="F12" s="103"/>
      <c r="G12" s="91"/>
      <c r="H12" s="104"/>
      <c r="I12" s="31"/>
      <c r="J12" s="31"/>
      <c r="K12" s="76"/>
      <c r="L12" s="76"/>
      <c r="M12" s="76"/>
      <c r="N12" s="76"/>
      <c r="O12" s="76"/>
      <c r="P12" s="77"/>
      <c r="Q12" s="76"/>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6"/>
      <c r="BD12" s="76"/>
      <c r="BE12" s="76"/>
      <c r="BF12" s="76"/>
      <c r="BG12" s="76"/>
      <c r="BH12" s="76"/>
      <c r="BI12" s="76"/>
      <c r="BJ12" s="76"/>
      <c r="BK12" s="76"/>
      <c r="BL12" s="76"/>
      <c r="BM12" s="76"/>
      <c r="BN12" s="76"/>
      <c r="BO12" s="76"/>
      <c r="BP12" s="76"/>
      <c r="BQ12" s="76"/>
      <c r="BR12" s="76"/>
      <c r="BS12" s="76"/>
      <c r="BT12" s="76"/>
      <c r="BU12" s="76"/>
      <c r="BV12" s="76"/>
      <c r="BW12" s="76"/>
      <c r="BX12" s="76"/>
      <c r="BY12" s="76"/>
      <c r="BZ12" s="76"/>
      <c r="CA12" s="76"/>
      <c r="CB12" s="76"/>
      <c r="CC12" s="76"/>
      <c r="CD12" s="76"/>
      <c r="CE12" s="76"/>
      <c r="CF12" s="76"/>
      <c r="CG12" s="76"/>
      <c r="CH12" s="76"/>
      <c r="CI12" s="76"/>
      <c r="CJ12" s="76"/>
      <c r="CK12" s="76"/>
      <c r="CL12" s="76"/>
      <c r="CM12" s="76"/>
      <c r="CN12" s="76"/>
      <c r="CO12" s="76"/>
      <c r="CP12" s="76"/>
      <c r="CQ12" s="76"/>
      <c r="CR12" s="76"/>
      <c r="CS12" s="76"/>
      <c r="CT12" s="76"/>
      <c r="CU12" s="76"/>
      <c r="CV12" s="76"/>
      <c r="CW12" s="76"/>
      <c r="CX12" s="76"/>
      <c r="CY12" s="76"/>
      <c r="CZ12" s="76"/>
      <c r="DA12" s="76"/>
      <c r="DB12" s="76"/>
      <c r="DC12" s="76"/>
      <c r="DD12" s="76"/>
      <c r="DE12" s="76"/>
      <c r="DF12" s="76"/>
      <c r="DG12" s="76"/>
      <c r="DH12" s="76"/>
      <c r="DI12" s="76"/>
      <c r="DJ12" s="76"/>
      <c r="DK12" s="76"/>
      <c r="DL12" s="76"/>
      <c r="DM12" s="76"/>
      <c r="DN12" s="76"/>
      <c r="DO12" s="76"/>
      <c r="DP12" s="76"/>
      <c r="DQ12" s="76"/>
      <c r="DR12" s="76"/>
      <c r="DS12" s="76"/>
      <c r="DT12" s="76"/>
      <c r="DU12" s="76"/>
      <c r="DV12" s="76"/>
      <c r="DW12" s="76"/>
      <c r="DX12" s="76"/>
      <c r="DY12" s="76"/>
      <c r="DZ12" s="76"/>
      <c r="EA12" s="76"/>
      <c r="EB12" s="76"/>
      <c r="EC12" s="76"/>
      <c r="ED12" s="76"/>
      <c r="EE12" s="76"/>
      <c r="EF12" s="76"/>
      <c r="EG12" s="76"/>
      <c r="EH12" s="76"/>
      <c r="EI12" s="76"/>
      <c r="EJ12" s="76"/>
      <c r="EK12" s="76"/>
      <c r="EL12" s="76"/>
      <c r="EM12" s="76"/>
      <c r="EN12" s="76"/>
      <c r="EO12" s="76"/>
      <c r="EP12" s="76"/>
      <c r="EQ12" s="76"/>
      <c r="ER12" s="76"/>
      <c r="ES12" s="76"/>
      <c r="ET12" s="76"/>
      <c r="EU12" s="76"/>
      <c r="EV12" s="76"/>
      <c r="EW12" s="76"/>
      <c r="EX12" s="76"/>
      <c r="EY12" s="76"/>
      <c r="EZ12" s="76"/>
      <c r="FA12" s="76"/>
      <c r="FB12" s="76"/>
      <c r="FC12" s="76"/>
      <c r="FD12" s="76"/>
      <c r="FE12" s="76"/>
      <c r="FF12" s="76"/>
      <c r="FG12" s="76"/>
      <c r="FH12" s="76"/>
      <c r="FI12" s="76"/>
      <c r="FJ12" s="76"/>
      <c r="FK12" s="76"/>
      <c r="FL12" s="76"/>
      <c r="FM12" s="76"/>
      <c r="FN12" s="76"/>
      <c r="FO12" s="76"/>
      <c r="FP12" s="76"/>
      <c r="FQ12" s="76"/>
      <c r="FR12" s="76"/>
      <c r="FS12" s="76"/>
      <c r="FT12" s="76"/>
      <c r="FU12" s="76"/>
      <c r="FV12" s="76"/>
      <c r="FW12" s="76"/>
      <c r="FX12" s="76"/>
      <c r="FY12" s="76"/>
      <c r="FZ12" s="76"/>
      <c r="GA12" s="76"/>
      <c r="GB12" s="76"/>
      <c r="GC12" s="76"/>
      <c r="GD12" s="76"/>
      <c r="GE12" s="76"/>
      <c r="GF12" s="76"/>
      <c r="GG12" s="76"/>
      <c r="GH12" s="76"/>
      <c r="GI12" s="76"/>
      <c r="GJ12" s="76"/>
      <c r="GK12" s="76"/>
      <c r="GL12" s="76"/>
      <c r="GM12" s="76"/>
      <c r="GN12" s="76"/>
      <c r="GO12" s="76"/>
      <c r="GP12" s="76"/>
      <c r="GQ12" s="76"/>
      <c r="GR12" s="76"/>
      <c r="GS12" s="76"/>
      <c r="GT12" s="76"/>
      <c r="GU12" s="76"/>
      <c r="GV12" s="76"/>
      <c r="GW12" s="76"/>
      <c r="GX12" s="76"/>
      <c r="GY12" s="76"/>
      <c r="GZ12" s="76"/>
      <c r="HA12" s="76"/>
      <c r="HB12" s="76"/>
      <c r="HC12" s="76"/>
      <c r="HD12" s="76"/>
      <c r="HE12" s="76"/>
      <c r="HF12" s="76"/>
      <c r="HG12" s="76"/>
      <c r="HH12" s="76"/>
      <c r="HI12" s="76"/>
      <c r="HJ12" s="76"/>
      <c r="HK12" s="76"/>
      <c r="HL12" s="76"/>
      <c r="HM12" s="76"/>
      <c r="HN12" s="76"/>
      <c r="HO12" s="76"/>
      <c r="HP12" s="76"/>
      <c r="HQ12" s="76"/>
      <c r="HR12" s="76"/>
      <c r="HS12" s="76"/>
      <c r="HT12" s="76"/>
      <c r="HU12" s="76"/>
      <c r="HV12" s="76"/>
      <c r="HW12" s="76"/>
      <c r="HX12" s="76"/>
      <c r="HY12" s="76"/>
      <c r="HZ12" s="76"/>
      <c r="IA12" s="76"/>
      <c r="IB12" s="76"/>
      <c r="IC12" s="76"/>
    </row>
    <row r="13" spans="1:237" ht="13.5" customHeight="1" x14ac:dyDescent="0.3">
      <c r="A13" s="91"/>
      <c r="B13" s="91"/>
      <c r="C13" s="91"/>
      <c r="D13" s="103"/>
      <c r="E13" s="103"/>
      <c r="F13" s="103"/>
      <c r="G13" s="91"/>
      <c r="H13" s="104"/>
      <c r="I13" s="31"/>
      <c r="J13" s="31"/>
      <c r="K13" s="76"/>
      <c r="L13" s="76"/>
      <c r="M13" s="76"/>
      <c r="N13" s="76"/>
      <c r="O13" s="76"/>
      <c r="P13" s="77"/>
      <c r="Q13" s="76"/>
      <c r="R13" s="76"/>
      <c r="S13" s="76"/>
      <c r="T13" s="76"/>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6"/>
      <c r="CG13" s="76"/>
      <c r="CH13" s="76"/>
      <c r="CI13" s="76"/>
      <c r="CJ13" s="76"/>
      <c r="CK13" s="76"/>
      <c r="CL13" s="76"/>
      <c r="CM13" s="76"/>
      <c r="CN13" s="76"/>
      <c r="CO13" s="76"/>
      <c r="CP13" s="76"/>
      <c r="CQ13" s="76"/>
      <c r="CR13" s="76"/>
      <c r="CS13" s="76"/>
      <c r="CT13" s="76"/>
      <c r="CU13" s="76"/>
      <c r="CV13" s="76"/>
      <c r="CW13" s="76"/>
      <c r="CX13" s="76"/>
      <c r="CY13" s="76"/>
      <c r="CZ13" s="76"/>
      <c r="DA13" s="76"/>
      <c r="DB13" s="76"/>
      <c r="DC13" s="76"/>
      <c r="DD13" s="76"/>
      <c r="DE13" s="76"/>
      <c r="DF13" s="76"/>
      <c r="DG13" s="76"/>
      <c r="DH13" s="76"/>
      <c r="DI13" s="76"/>
      <c r="DJ13" s="76"/>
      <c r="DK13" s="76"/>
      <c r="DL13" s="76"/>
      <c r="DM13" s="76"/>
      <c r="DN13" s="76"/>
      <c r="DO13" s="76"/>
      <c r="DP13" s="76"/>
      <c r="DQ13" s="76"/>
      <c r="DR13" s="76"/>
      <c r="DS13" s="76"/>
      <c r="DT13" s="76"/>
      <c r="DU13" s="76"/>
      <c r="DV13" s="76"/>
      <c r="DW13" s="76"/>
      <c r="DX13" s="76"/>
      <c r="DY13" s="76"/>
      <c r="DZ13" s="76"/>
      <c r="EA13" s="76"/>
      <c r="EB13" s="76"/>
      <c r="EC13" s="76"/>
      <c r="ED13" s="76"/>
      <c r="EE13" s="76"/>
      <c r="EF13" s="76"/>
      <c r="EG13" s="76"/>
      <c r="EH13" s="76"/>
      <c r="EI13" s="76"/>
      <c r="EJ13" s="76"/>
      <c r="EK13" s="76"/>
      <c r="EL13" s="76"/>
      <c r="EM13" s="76"/>
      <c r="EN13" s="76"/>
      <c r="EO13" s="76"/>
      <c r="EP13" s="76"/>
      <c r="EQ13" s="76"/>
      <c r="ER13" s="76"/>
      <c r="ES13" s="76"/>
      <c r="ET13" s="76"/>
      <c r="EU13" s="76"/>
      <c r="EV13" s="76"/>
      <c r="EW13" s="76"/>
      <c r="EX13" s="76"/>
      <c r="EY13" s="76"/>
      <c r="EZ13" s="76"/>
      <c r="FA13" s="76"/>
      <c r="FB13" s="76"/>
      <c r="FC13" s="76"/>
      <c r="FD13" s="76"/>
      <c r="FE13" s="76"/>
      <c r="FF13" s="76"/>
      <c r="FG13" s="76"/>
      <c r="FH13" s="76"/>
      <c r="FI13" s="76"/>
      <c r="FJ13" s="76"/>
      <c r="FK13" s="76"/>
      <c r="FL13" s="76"/>
      <c r="FM13" s="76"/>
      <c r="FN13" s="76"/>
      <c r="FO13" s="76"/>
      <c r="FP13" s="76"/>
      <c r="FQ13" s="76"/>
      <c r="FR13" s="76"/>
      <c r="FS13" s="76"/>
      <c r="FT13" s="76"/>
      <c r="FU13" s="76"/>
      <c r="FV13" s="76"/>
      <c r="FW13" s="76"/>
      <c r="FX13" s="76"/>
      <c r="FY13" s="76"/>
      <c r="FZ13" s="76"/>
      <c r="GA13" s="76"/>
      <c r="GB13" s="76"/>
      <c r="GC13" s="76"/>
      <c r="GD13" s="76"/>
      <c r="GE13" s="76"/>
      <c r="GF13" s="76"/>
      <c r="GG13" s="76"/>
      <c r="GH13" s="76"/>
      <c r="GI13" s="76"/>
      <c r="GJ13" s="76"/>
      <c r="GK13" s="76"/>
      <c r="GL13" s="76"/>
      <c r="GM13" s="76"/>
      <c r="GN13" s="76"/>
      <c r="GO13" s="76"/>
      <c r="GP13" s="76"/>
      <c r="GQ13" s="76"/>
      <c r="GR13" s="76"/>
      <c r="GS13" s="76"/>
      <c r="GT13" s="76"/>
      <c r="GU13" s="76"/>
      <c r="GV13" s="76"/>
      <c r="GW13" s="76"/>
      <c r="GX13" s="76"/>
      <c r="GY13" s="76"/>
      <c r="GZ13" s="76"/>
      <c r="HA13" s="76"/>
      <c r="HB13" s="76"/>
      <c r="HC13" s="76"/>
      <c r="HD13" s="76"/>
      <c r="HE13" s="76"/>
      <c r="HF13" s="76"/>
      <c r="HG13" s="76"/>
      <c r="HH13" s="76"/>
      <c r="HI13" s="76"/>
      <c r="HJ13" s="76"/>
      <c r="HK13" s="76"/>
      <c r="HL13" s="76"/>
      <c r="HM13" s="76"/>
      <c r="HN13" s="76"/>
      <c r="HO13" s="76"/>
      <c r="HP13" s="76"/>
      <c r="HQ13" s="76"/>
      <c r="HR13" s="76"/>
      <c r="HS13" s="76"/>
      <c r="HT13" s="76"/>
      <c r="HU13" s="76"/>
      <c r="HV13" s="76"/>
      <c r="HW13" s="76"/>
      <c r="HX13" s="76"/>
      <c r="HY13" s="76"/>
      <c r="HZ13" s="76"/>
      <c r="IA13" s="76"/>
      <c r="IB13" s="76"/>
      <c r="IC13" s="76"/>
    </row>
    <row r="16" spans="1:237" ht="13.5" customHeight="1" x14ac:dyDescent="0.3">
      <c r="A16" s="95"/>
      <c r="B16" s="95"/>
      <c r="C16" s="95"/>
      <c r="G16" s="105"/>
      <c r="H16" s="105"/>
    </row>
  </sheetData>
  <autoFilter ref="A3:IC7" xr:uid="{00000000-0009-0000-0000-000002000000}"/>
  <mergeCells count="8">
    <mergeCell ref="A1:I1"/>
    <mergeCell ref="A2:A3"/>
    <mergeCell ref="B2:B3"/>
    <mergeCell ref="C2:C3"/>
    <mergeCell ref="D2:F2"/>
    <mergeCell ref="G2:G3"/>
    <mergeCell ref="H2:H3"/>
    <mergeCell ref="I2:I3"/>
  </mergeCells>
  <conditionalFormatting sqref="B5:B7">
    <cfRule type="duplicateValues" dxfId="8" priority="8"/>
  </conditionalFormatting>
  <pageMargins left="0.7" right="0.7" top="0.75" bottom="0.75" header="0.511811023622047" footer="0.511811023622047"/>
  <pageSetup scale="61"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66FF"/>
  </sheetPr>
  <dimension ref="A1:I4"/>
  <sheetViews>
    <sheetView zoomScaleNormal="100" workbookViewId="0">
      <selection activeCell="F2" sqref="F2"/>
    </sheetView>
  </sheetViews>
  <sheetFormatPr defaultColWidth="9.109375" defaultRowHeight="13.8" x14ac:dyDescent="0.25"/>
  <cols>
    <col min="1" max="1" width="9.109375" style="67"/>
    <col min="2" max="2" width="28.88671875" style="67" customWidth="1"/>
    <col min="3" max="3" width="16.109375" style="106" customWidth="1"/>
    <col min="4" max="5" width="9.6640625" style="107" customWidth="1"/>
    <col min="6" max="6" width="10.5546875" style="107" customWidth="1"/>
    <col min="7" max="8" width="9.6640625" style="107" customWidth="1"/>
    <col min="9" max="9" width="14.5546875" style="108" customWidth="1"/>
    <col min="10" max="16384" width="9.109375" style="67"/>
  </cols>
  <sheetData>
    <row r="1" spans="1:9" ht="19.2" customHeight="1" x14ac:dyDescent="0.25">
      <c r="A1" s="78" t="s">
        <v>1</v>
      </c>
      <c r="B1" s="78" t="s">
        <v>103</v>
      </c>
      <c r="C1" s="109" t="s">
        <v>104</v>
      </c>
      <c r="D1" s="78" t="s">
        <v>105</v>
      </c>
      <c r="E1" s="78" t="s">
        <v>106</v>
      </c>
      <c r="F1" s="78" t="s">
        <v>2022</v>
      </c>
      <c r="G1" s="78" t="s">
        <v>107</v>
      </c>
      <c r="H1" s="78" t="s">
        <v>108</v>
      </c>
      <c r="I1" s="110" t="s">
        <v>97</v>
      </c>
    </row>
    <row r="2" spans="1:9" ht="18" customHeight="1" x14ac:dyDescent="0.25">
      <c r="A2" s="82">
        <f>IF('Mức lương'!A8="","",'Mức lương'!A8)</f>
        <v>1</v>
      </c>
      <c r="B2" s="44" t="str">
        <f>IF('Mức lương'!B8="","",'Mức lương'!B8)</f>
        <v>NGUYỄN KIM QUYẾT</v>
      </c>
      <c r="C2" s="111">
        <f>'Thuế TNCN'!$X$4*I2</f>
        <v>0</v>
      </c>
      <c r="D2" s="82"/>
      <c r="E2" s="82"/>
      <c r="F2" s="82"/>
      <c r="G2" s="82"/>
      <c r="H2" s="82"/>
      <c r="I2" s="112">
        <f t="shared" ref="I2:I4" si="0">SUM(D2:H2)</f>
        <v>0</v>
      </c>
    </row>
    <row r="3" spans="1:9" ht="18" customHeight="1" x14ac:dyDescent="0.25">
      <c r="A3" s="113" t="str">
        <f>IF('Mức lương'!A9="","",'Mức lương'!A9)</f>
        <v>I</v>
      </c>
      <c r="B3" s="114" t="str">
        <f>IF('Mức lương'!B9="","",'Mức lương'!B9)</f>
        <v>BỘ PHẬN LÁI XE</v>
      </c>
      <c r="C3" s="111">
        <f>'Thuế TNCN'!$X$4*I3</f>
        <v>0</v>
      </c>
      <c r="D3" s="115"/>
      <c r="E3" s="115"/>
      <c r="F3" s="115"/>
      <c r="G3" s="115"/>
      <c r="H3" s="115"/>
      <c r="I3" s="112">
        <f t="shared" si="0"/>
        <v>0</v>
      </c>
    </row>
    <row r="4" spans="1:9" ht="18" customHeight="1" x14ac:dyDescent="0.25">
      <c r="A4" s="82">
        <f>IF('Mức lương'!A10="","",'Mức lương'!A10)</f>
        <v>2</v>
      </c>
      <c r="B4" s="44" t="str">
        <f>IF('Mức lương'!B10="","",'Mức lương'!B10)</f>
        <v>NGUYỄN VĂN LỢI</v>
      </c>
      <c r="C4" s="111">
        <f>'Thuế TNCN'!$X$4*I4</f>
        <v>0</v>
      </c>
      <c r="D4" s="115"/>
      <c r="E4" s="115"/>
      <c r="F4" s="115"/>
      <c r="G4" s="115"/>
      <c r="H4" s="115"/>
      <c r="I4" s="112">
        <f t="shared" si="0"/>
        <v>0</v>
      </c>
    </row>
  </sheetData>
  <conditionalFormatting sqref="B1:B4">
    <cfRule type="duplicateValues" dxfId="7" priority="11"/>
  </conditionalFormatting>
  <pageMargins left="0.7" right="0.7" top="0.75" bottom="0.75" header="0.511811023622047" footer="0.511811023622047"/>
  <pageSetup paperSize="9" scale="72"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V20"/>
  <sheetViews>
    <sheetView zoomScaleNormal="100" workbookViewId="0">
      <pane xSplit="4" ySplit="4" topLeftCell="E5" activePane="bottomRight" state="frozen"/>
      <selection pane="topRight" activeCell="E1" sqref="E1"/>
      <selection pane="bottomLeft" activeCell="A29" sqref="A29"/>
      <selection pane="bottomRight" activeCell="K11" sqref="K11:M11"/>
    </sheetView>
  </sheetViews>
  <sheetFormatPr defaultColWidth="11.44140625" defaultRowHeight="15.6" x14ac:dyDescent="0.3"/>
  <cols>
    <col min="1" max="1" width="5.6640625" style="116" customWidth="1"/>
    <col min="2" max="2" width="22.6640625" style="117" customWidth="1"/>
    <col min="3" max="3" width="14.33203125" style="117" customWidth="1"/>
    <col min="4" max="4" width="13.5546875" style="117" customWidth="1"/>
    <col min="5" max="5" width="14.5546875" style="117" bestFit="1" customWidth="1"/>
    <col min="6" max="6" width="11.88671875" style="117" bestFit="1" customWidth="1"/>
    <col min="7" max="7" width="13.44140625" style="117" bestFit="1" customWidth="1"/>
    <col min="8" max="8" width="15.88671875" style="117" bestFit="1" customWidth="1"/>
    <col min="9" max="9" width="13.44140625" style="117" bestFit="1" customWidth="1"/>
    <col min="10" max="10" width="16.33203125" style="117" bestFit="1" customWidth="1"/>
    <col min="11" max="11" width="13.33203125" style="117" bestFit="1" customWidth="1"/>
    <col min="12" max="12" width="13.44140625" style="117" bestFit="1" customWidth="1"/>
    <col min="13" max="13" width="15.5546875" style="117" bestFit="1" customWidth="1"/>
    <col min="14" max="14" width="31.44140625" style="117" customWidth="1"/>
    <col min="15" max="20" width="11.44140625" style="117"/>
    <col min="21" max="22" width="11.44140625" style="118"/>
    <col min="23" max="16384" width="11.44140625" style="117"/>
  </cols>
  <sheetData>
    <row r="1" spans="1:14" ht="23.25" customHeight="1" x14ac:dyDescent="0.35">
      <c r="A1" s="10" t="s">
        <v>2016</v>
      </c>
      <c r="B1" s="119"/>
      <c r="C1" s="119"/>
      <c r="D1" s="119"/>
      <c r="E1" s="119"/>
      <c r="F1" s="119"/>
      <c r="G1" s="119"/>
      <c r="H1" s="119"/>
      <c r="I1" s="119"/>
      <c r="J1" s="120"/>
      <c r="K1" s="120"/>
      <c r="L1" s="120"/>
      <c r="M1" s="120"/>
      <c r="N1" s="120"/>
    </row>
    <row r="2" spans="1:14" ht="17.25" customHeight="1" x14ac:dyDescent="0.3">
      <c r="A2" s="312" t="str">
        <f>"BẢNG TÍNH BẢO HIỂM XÃ HỘI CỦA NHÂN VIÊN THÁNG "&amp;BCC!O4&amp; "/"&amp;BCC!O5</f>
        <v>BẢNG TÍNH BẢO HIỂM XÃ HỘI CỦA NHÂN VIÊN THÁNG 10/2026</v>
      </c>
      <c r="B2" s="312"/>
      <c r="C2" s="312"/>
      <c r="D2" s="312"/>
      <c r="E2" s="312"/>
      <c r="F2" s="312"/>
      <c r="G2" s="312"/>
      <c r="H2" s="312"/>
      <c r="I2" s="312"/>
      <c r="J2" s="312"/>
      <c r="K2" s="312"/>
      <c r="L2" s="312"/>
      <c r="M2" s="312"/>
      <c r="N2" s="121"/>
    </row>
    <row r="3" spans="1:14" ht="15" customHeight="1" x14ac:dyDescent="0.3">
      <c r="A3" s="313" t="s">
        <v>1</v>
      </c>
      <c r="B3" s="313" t="s">
        <v>24</v>
      </c>
      <c r="C3" s="314" t="s">
        <v>109</v>
      </c>
      <c r="D3" s="314" t="s">
        <v>110</v>
      </c>
      <c r="E3" s="314" t="s">
        <v>111</v>
      </c>
      <c r="F3" s="313" t="s">
        <v>112</v>
      </c>
      <c r="G3" s="313"/>
      <c r="H3" s="313"/>
      <c r="I3" s="313"/>
      <c r="J3" s="315" t="s">
        <v>113</v>
      </c>
      <c r="K3" s="315"/>
      <c r="L3" s="315"/>
      <c r="M3" s="315"/>
      <c r="N3" s="123" t="s">
        <v>31</v>
      </c>
    </row>
    <row r="4" spans="1:14" ht="15" customHeight="1" x14ac:dyDescent="0.3">
      <c r="A4" s="313"/>
      <c r="B4" s="313"/>
      <c r="C4" s="314"/>
      <c r="D4" s="314"/>
      <c r="E4" s="314"/>
      <c r="F4" s="122" t="s">
        <v>114</v>
      </c>
      <c r="G4" s="122" t="s">
        <v>115</v>
      </c>
      <c r="H4" s="122" t="s">
        <v>116</v>
      </c>
      <c r="I4" s="122" t="s">
        <v>117</v>
      </c>
      <c r="J4" s="123" t="s">
        <v>118</v>
      </c>
      <c r="K4" s="123" t="s">
        <v>119</v>
      </c>
      <c r="L4" s="123" t="s">
        <v>116</v>
      </c>
      <c r="M4" s="123" t="s">
        <v>120</v>
      </c>
      <c r="N4" s="123"/>
    </row>
    <row r="5" spans="1:14" ht="17.25" customHeight="1" x14ac:dyDescent="0.3">
      <c r="A5" s="124">
        <f>IF('Mức lương'!A8="","",'Mức lương'!A8)</f>
        <v>1</v>
      </c>
      <c r="B5" s="44" t="str">
        <f>IF('Mức lương'!B8="","",'Mức lương'!B8)</f>
        <v>NGUYỄN KIM QUYẾT</v>
      </c>
      <c r="C5" s="125"/>
      <c r="D5" s="126">
        <f>IF($B5="","",IFERROR(IF(INDEX('Mức lương'!$I$8:$I$62,MATCH($B5,'Mức lương'!$B$8:$B$62,0))="","",INDEX('Mức lương'!$I$8:$I$62,MATCH($B5,'Mức lương'!$B$8:$B$62,0))),""))</f>
        <v>6000000</v>
      </c>
      <c r="E5" s="126">
        <f t="shared" ref="E5:E7" si="0">IF($D5="","",I5+M5)</f>
        <v>1920000</v>
      </c>
      <c r="F5" s="126">
        <f>IF($D5="","",$D5*'Bảng lương'!$S$7)</f>
        <v>480000</v>
      </c>
      <c r="G5" s="126">
        <f>IF($D5="","",$D5*'Bảng lương'!$T$7)</f>
        <v>90000</v>
      </c>
      <c r="H5" s="126">
        <f>IF($D5="","",$D5*'Bảng lương'!$U$7)</f>
        <v>60000</v>
      </c>
      <c r="I5" s="126">
        <f t="shared" ref="I5:I7" si="1">IF($D5="","",SUM(F5:H5))</f>
        <v>630000</v>
      </c>
      <c r="J5" s="126">
        <f>IF($D5="","",$D5*'Bảng lương'!$O$7)</f>
        <v>1050000</v>
      </c>
      <c r="K5" s="126">
        <f>IF($D5="","",$D5*'Bảng lương'!$P$7)</f>
        <v>180000</v>
      </c>
      <c r="L5" s="126">
        <f>IF($D5="","",$D5*'Bảng lương'!$Q$7)</f>
        <v>60000</v>
      </c>
      <c r="M5" s="126">
        <f t="shared" ref="M5:M7" si="2">IF($D5="","",SUM(J5:L5))</f>
        <v>1290000</v>
      </c>
      <c r="N5" s="126"/>
    </row>
    <row r="6" spans="1:14" ht="17.25" customHeight="1" x14ac:dyDescent="0.3">
      <c r="A6" s="127" t="str">
        <f>IF('Mức lương'!A9="","",'Mức lương'!A9)</f>
        <v>I</v>
      </c>
      <c r="B6" s="59" t="str">
        <f>IF('Mức lương'!B9="","",'Mức lương'!B9)</f>
        <v>BỘ PHẬN LÁI XE</v>
      </c>
      <c r="C6" s="128"/>
      <c r="D6" s="129" t="str">
        <f>IF($B6="","",IFERROR(IF(INDEX('Mức lương'!$I$8:$I$62,MATCH($B6,'Mức lương'!$B$8:$B$62,0))="","",INDEX('Mức lương'!$I$8:$I$62,MATCH($B6,'Mức lương'!$B$8:$B$62,0))),""))</f>
        <v/>
      </c>
      <c r="E6" s="290" t="str">
        <f t="shared" si="0"/>
        <v/>
      </c>
      <c r="F6" s="290" t="str">
        <f>IF($D6="","",$D6*'Bảng lương'!$S$7)</f>
        <v/>
      </c>
      <c r="G6" s="290" t="str">
        <f>IF($D6="","",$D6*'Bảng lương'!$T$7)</f>
        <v/>
      </c>
      <c r="H6" s="290" t="str">
        <f>IF($D6="","",$D6*'Bảng lương'!$U$7)</f>
        <v/>
      </c>
      <c r="I6" s="290" t="str">
        <f t="shared" si="1"/>
        <v/>
      </c>
      <c r="J6" s="290" t="str">
        <f>IF($D6="","",$D6*'Bảng lương'!$O$7)</f>
        <v/>
      </c>
      <c r="K6" s="290" t="str">
        <f>IF($D6="","",$D6*'Bảng lương'!$P$7)</f>
        <v/>
      </c>
      <c r="L6" s="290" t="str">
        <f>IF($D6="","",$D6*'Bảng lương'!$Q$7)</f>
        <v/>
      </c>
      <c r="M6" s="290" t="str">
        <f t="shared" si="2"/>
        <v/>
      </c>
      <c r="N6" s="129"/>
    </row>
    <row r="7" spans="1:14" ht="17.25" customHeight="1" x14ac:dyDescent="0.3">
      <c r="A7" s="124">
        <f>IF('Mức lương'!A10="","",'Mức lương'!A10)</f>
        <v>2</v>
      </c>
      <c r="B7" s="44" t="str">
        <f>IF('Mức lương'!B10="","",'Mức lương'!B10)</f>
        <v>NGUYỄN VĂN LỢI</v>
      </c>
      <c r="C7" s="125"/>
      <c r="D7" s="126">
        <f>IF($B7="","",IFERROR(IF(INDEX('Mức lương'!$I$8:$I$62,MATCH($B7,'Mức lương'!$B$8:$B$62,0))="","",INDEX('Mức lương'!$I$8:$I$62,MATCH($B7,'Mức lương'!$B$8:$B$62,0))),""))</f>
        <v>5500000</v>
      </c>
      <c r="E7" s="126">
        <f t="shared" si="0"/>
        <v>1760000</v>
      </c>
      <c r="F7" s="126">
        <f>IF($D7="","",$D7*'Bảng lương'!$S$7)</f>
        <v>440000</v>
      </c>
      <c r="G7" s="126">
        <f>IF($D7="","",$D7*'Bảng lương'!$T$7)</f>
        <v>82500</v>
      </c>
      <c r="H7" s="126">
        <f>IF($D7="","",$D7*'Bảng lương'!$U$7)</f>
        <v>55000</v>
      </c>
      <c r="I7" s="126">
        <f t="shared" si="1"/>
        <v>577500</v>
      </c>
      <c r="J7" s="126">
        <f>IF($D7="","",$D7*'Bảng lương'!$O$7)</f>
        <v>962499.99999999988</v>
      </c>
      <c r="K7" s="126">
        <f>IF($D7="","",$D7*'Bảng lương'!$P$7)</f>
        <v>165000</v>
      </c>
      <c r="L7" s="126">
        <f>IF($D7="","",$D7*'Bảng lương'!$Q$7)</f>
        <v>55000</v>
      </c>
      <c r="M7" s="126">
        <f t="shared" si="2"/>
        <v>1182500</v>
      </c>
      <c r="N7" s="126"/>
    </row>
    <row r="8" spans="1:14" ht="17.25" customHeight="1" x14ac:dyDescent="0.3">
      <c r="A8" s="124"/>
      <c r="B8" s="44" t="s">
        <v>121</v>
      </c>
      <c r="C8" s="130"/>
      <c r="D8" s="131">
        <f t="shared" ref="D8:M8" si="3">SUM(D5:D7)</f>
        <v>11500000</v>
      </c>
      <c r="E8" s="131">
        <f t="shared" si="3"/>
        <v>3680000</v>
      </c>
      <c r="F8" s="131">
        <f t="shared" si="3"/>
        <v>920000</v>
      </c>
      <c r="G8" s="131">
        <f t="shared" si="3"/>
        <v>172500</v>
      </c>
      <c r="H8" s="131">
        <f t="shared" si="3"/>
        <v>115000</v>
      </c>
      <c r="I8" s="131">
        <f t="shared" si="3"/>
        <v>1207500</v>
      </c>
      <c r="J8" s="131">
        <f t="shared" si="3"/>
        <v>2012500</v>
      </c>
      <c r="K8" s="131">
        <f t="shared" si="3"/>
        <v>345000</v>
      </c>
      <c r="L8" s="131">
        <f t="shared" si="3"/>
        <v>115000</v>
      </c>
      <c r="M8" s="131">
        <f t="shared" si="3"/>
        <v>2472500</v>
      </c>
      <c r="N8" s="131"/>
    </row>
    <row r="9" spans="1:14" ht="15" customHeight="1" x14ac:dyDescent="0.3">
      <c r="A9" s="318"/>
      <c r="B9" s="318"/>
      <c r="C9" s="318"/>
      <c r="D9" s="132"/>
      <c r="E9" s="133"/>
      <c r="F9" s="134"/>
      <c r="G9" s="134" t="s">
        <v>122</v>
      </c>
      <c r="H9" s="134" t="s">
        <v>123</v>
      </c>
      <c r="I9" s="134"/>
      <c r="J9" s="135">
        <f>M8</f>
        <v>2472500</v>
      </c>
      <c r="K9" s="135"/>
      <c r="L9" s="135"/>
      <c r="M9" s="135"/>
      <c r="N9" s="135"/>
    </row>
    <row r="10" spans="1:14" ht="15" customHeight="1" x14ac:dyDescent="0.3">
      <c r="A10" s="134"/>
      <c r="B10" s="134"/>
      <c r="C10" s="134"/>
      <c r="D10" s="134"/>
      <c r="E10" s="134"/>
      <c r="F10" s="134"/>
      <c r="G10" s="319" t="s">
        <v>124</v>
      </c>
      <c r="H10" s="319"/>
      <c r="I10" s="319"/>
      <c r="J10" s="135">
        <f>I8</f>
        <v>1207500</v>
      </c>
      <c r="K10" s="135"/>
      <c r="L10" s="135"/>
      <c r="M10" s="135"/>
      <c r="N10" s="135"/>
    </row>
    <row r="11" spans="1:14" ht="15" customHeight="1" x14ac:dyDescent="0.3">
      <c r="A11" s="134"/>
      <c r="B11" s="134"/>
      <c r="C11" s="134"/>
      <c r="D11" s="135"/>
      <c r="E11" s="134"/>
      <c r="F11" s="134"/>
      <c r="G11" s="319" t="s">
        <v>125</v>
      </c>
      <c r="H11" s="319"/>
      <c r="I11" s="319"/>
      <c r="J11" s="135">
        <f>+J10+J9</f>
        <v>3680000</v>
      </c>
      <c r="K11" s="320" t="s">
        <v>126</v>
      </c>
      <c r="L11" s="320"/>
      <c r="M11" s="320"/>
      <c r="N11" s="135"/>
    </row>
    <row r="12" spans="1:14" ht="15" customHeight="1" x14ac:dyDescent="0.3">
      <c r="A12" s="136"/>
      <c r="B12" s="321" t="s">
        <v>127</v>
      </c>
      <c r="C12" s="321"/>
      <c r="D12" s="136"/>
      <c r="E12" s="316" t="s">
        <v>128</v>
      </c>
      <c r="F12" s="316"/>
      <c r="G12" s="316"/>
      <c r="H12" s="317" t="s">
        <v>129</v>
      </c>
      <c r="I12" s="317"/>
      <c r="J12" s="317"/>
      <c r="K12" s="317" t="s">
        <v>130</v>
      </c>
      <c r="L12" s="317"/>
      <c r="M12" s="317"/>
      <c r="N12" s="140"/>
    </row>
    <row r="13" spans="1:14" ht="32.25" customHeight="1" x14ac:dyDescent="0.3">
      <c r="A13" s="134"/>
      <c r="B13" s="134"/>
      <c r="C13" s="134"/>
      <c r="D13" s="134"/>
      <c r="E13" s="134"/>
      <c r="F13" s="134"/>
      <c r="G13" s="141"/>
      <c r="H13" s="134"/>
      <c r="I13" s="135"/>
      <c r="J13" s="135"/>
      <c r="K13" s="135"/>
      <c r="L13" s="135"/>
      <c r="M13" s="135"/>
      <c r="N13" s="135"/>
    </row>
    <row r="14" spans="1:14" ht="15" customHeight="1" x14ac:dyDescent="0.3">
      <c r="A14" s="134"/>
      <c r="B14" s="134"/>
      <c r="C14" s="134"/>
      <c r="D14" s="135"/>
      <c r="E14" s="134"/>
      <c r="F14" s="134"/>
      <c r="G14" s="141"/>
      <c r="H14" s="134"/>
      <c r="I14" s="135"/>
      <c r="J14" s="135"/>
      <c r="K14" s="135"/>
      <c r="L14" s="135"/>
      <c r="M14" s="135"/>
      <c r="N14" s="135"/>
    </row>
    <row r="15" spans="1:14" ht="15" customHeight="1" x14ac:dyDescent="0.3">
      <c r="A15" s="134"/>
      <c r="B15" s="134"/>
      <c r="C15" s="134"/>
      <c r="D15" s="135"/>
      <c r="E15" s="134"/>
      <c r="F15" s="134"/>
      <c r="G15" s="141"/>
      <c r="H15" s="134"/>
      <c r="I15" s="134"/>
      <c r="J15" s="135"/>
      <c r="K15" s="135"/>
      <c r="L15" s="135"/>
      <c r="M15" s="135"/>
      <c r="N15" s="135"/>
    </row>
    <row r="16" spans="1:14" ht="15" customHeight="1" x14ac:dyDescent="0.3">
      <c r="A16" s="134"/>
      <c r="B16" s="134"/>
      <c r="C16" s="134"/>
      <c r="D16" s="135"/>
      <c r="E16" s="134"/>
      <c r="F16" s="134"/>
      <c r="G16" s="141"/>
      <c r="H16" s="134"/>
      <c r="I16" s="134"/>
      <c r="J16" s="135"/>
      <c r="K16" s="135"/>
      <c r="L16" s="135"/>
      <c r="M16" s="135"/>
      <c r="N16" s="135"/>
    </row>
    <row r="17" spans="2:14" ht="15" customHeight="1" x14ac:dyDescent="0.3">
      <c r="B17" s="316"/>
      <c r="C17" s="316"/>
      <c r="D17" s="136"/>
      <c r="E17" s="316"/>
      <c r="F17" s="316"/>
      <c r="G17" s="316"/>
      <c r="H17" s="317"/>
      <c r="I17" s="317"/>
      <c r="J17" s="317"/>
      <c r="K17" s="317"/>
      <c r="L17" s="317"/>
      <c r="M17" s="317"/>
      <c r="N17" s="140"/>
    </row>
    <row r="19" spans="2:14" ht="15" customHeight="1" x14ac:dyDescent="0.3">
      <c r="J19" s="142"/>
    </row>
    <row r="20" spans="2:14" ht="15" customHeight="1" x14ac:dyDescent="0.3">
      <c r="F20" s="142"/>
    </row>
  </sheetData>
  <mergeCells count="20">
    <mergeCell ref="B17:C17"/>
    <mergeCell ref="E17:G17"/>
    <mergeCell ref="H17:J17"/>
    <mergeCell ref="K17:M17"/>
    <mergeCell ref="A9:C9"/>
    <mergeCell ref="G10:I10"/>
    <mergeCell ref="G11:I11"/>
    <mergeCell ref="K11:M11"/>
    <mergeCell ref="B12:C12"/>
    <mergeCell ref="E12:G12"/>
    <mergeCell ref="H12:J12"/>
    <mergeCell ref="K12:M12"/>
    <mergeCell ref="A2:M2"/>
    <mergeCell ref="A3:A4"/>
    <mergeCell ref="B3:B4"/>
    <mergeCell ref="C3:C4"/>
    <mergeCell ref="D3:D4"/>
    <mergeCell ref="E3:E4"/>
    <mergeCell ref="F3:I3"/>
    <mergeCell ref="J3:M3"/>
  </mergeCells>
  <conditionalFormatting sqref="B5:B8">
    <cfRule type="duplicateValues" dxfId="6" priority="20"/>
  </conditionalFormatting>
  <conditionalFormatting sqref="B9:B16 B1:B4 B18:B1048576">
    <cfRule type="duplicateValues" dxfId="5" priority="2"/>
  </conditionalFormatting>
  <pageMargins left="0.27569444444444402" right="0.15763888888888899" top="0" bottom="0" header="0.511811023622047" footer="0.511811023622047"/>
  <pageSetup paperSize="9" scale="53" orientation="landscape"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X30"/>
  <sheetViews>
    <sheetView zoomScaleNormal="100" workbookViewId="0">
      <pane ySplit="3" topLeftCell="A4" activePane="bottomLeft" state="frozen"/>
      <selection pane="bottomLeft" activeCell="J5" sqref="J5"/>
    </sheetView>
  </sheetViews>
  <sheetFormatPr defaultColWidth="9.109375" defaultRowHeight="13.2" x14ac:dyDescent="0.25"/>
  <cols>
    <col min="1" max="1" width="4.109375" style="6" customWidth="1"/>
    <col min="2" max="2" width="24.109375" style="6" customWidth="1"/>
    <col min="3" max="3" width="19" style="6" customWidth="1"/>
    <col min="4" max="4" width="15" style="6" customWidth="1"/>
    <col min="5" max="5" width="18.33203125" style="6" customWidth="1"/>
    <col min="6" max="7" width="12.5546875" style="6" customWidth="1"/>
    <col min="8" max="8" width="16.109375" style="6" customWidth="1"/>
    <col min="9" max="10" width="15.33203125" style="6" customWidth="1"/>
    <col min="11" max="11" width="17.88671875" style="7" customWidth="1"/>
    <col min="12" max="12" width="13" style="7" customWidth="1"/>
    <col min="13" max="13" width="11.88671875" style="7" customWidth="1"/>
    <col min="14" max="14" width="12.6640625" style="6" customWidth="1"/>
    <col min="15" max="16" width="13" style="7" customWidth="1"/>
    <col min="17" max="17" width="15.109375" style="7" customWidth="1"/>
    <col min="18" max="18" width="12.6640625" style="7" customWidth="1"/>
    <col min="19" max="19" width="14.44140625" style="7" customWidth="1"/>
    <col min="20" max="20" width="13" style="7" customWidth="1"/>
    <col min="21" max="22" width="9.109375" style="6"/>
    <col min="23" max="23" width="37.109375" style="6" customWidth="1"/>
    <col min="24" max="24" width="13" style="6" customWidth="1"/>
    <col min="25" max="252" width="9.109375" style="6"/>
    <col min="253" max="253" width="4.109375" style="6" customWidth="1"/>
    <col min="254" max="254" width="24.109375" style="6" customWidth="1"/>
    <col min="255" max="255" width="11" style="6" customWidth="1"/>
    <col min="256" max="256" width="15" style="6" customWidth="1"/>
    <col min="257" max="257" width="12.5546875" style="6" customWidth="1"/>
    <col min="258" max="258" width="16.109375" style="6" customWidth="1"/>
    <col min="259" max="259" width="20" style="6" customWidth="1"/>
    <col min="260" max="260" width="12.6640625" style="6" customWidth="1"/>
    <col min="261" max="261" width="13.33203125" style="6" customWidth="1"/>
    <col min="262" max="262" width="13" style="6" customWidth="1"/>
    <col min="263" max="263" width="11.88671875" style="6" customWidth="1"/>
    <col min="264" max="264" width="15.109375" style="6" customWidth="1"/>
    <col min="265" max="265" width="12.6640625" style="6" customWidth="1"/>
    <col min="266" max="266" width="11.44140625" style="6" customWidth="1"/>
    <col min="267" max="267" width="13.33203125" style="6" customWidth="1"/>
    <col min="268" max="269" width="9.109375" style="6"/>
    <col min="270" max="270" width="22.44140625" style="6" customWidth="1"/>
    <col min="271" max="271" width="19.33203125" style="6" customWidth="1"/>
    <col min="272" max="508" width="9.109375" style="6"/>
    <col min="509" max="509" width="4.109375" style="6" customWidth="1"/>
    <col min="510" max="510" width="24.109375" style="6" customWidth="1"/>
    <col min="511" max="511" width="11" style="6" customWidth="1"/>
    <col min="512" max="512" width="15" style="6" customWidth="1"/>
    <col min="513" max="513" width="12.5546875" style="6" customWidth="1"/>
    <col min="514" max="514" width="16.109375" style="6" customWidth="1"/>
    <col min="515" max="515" width="20" style="6" customWidth="1"/>
    <col min="516" max="516" width="12.6640625" style="6" customWidth="1"/>
    <col min="517" max="517" width="13.33203125" style="6" customWidth="1"/>
    <col min="518" max="518" width="13" style="6" customWidth="1"/>
    <col min="519" max="519" width="11.88671875" style="6" customWidth="1"/>
    <col min="520" max="520" width="15.109375" style="6" customWidth="1"/>
    <col min="521" max="521" width="12.6640625" style="6" customWidth="1"/>
    <col min="522" max="522" width="11.44140625" style="6" customWidth="1"/>
    <col min="523" max="523" width="13.33203125" style="6" customWidth="1"/>
    <col min="524" max="525" width="9.109375" style="6"/>
    <col min="526" max="526" width="22.44140625" style="6" customWidth="1"/>
    <col min="527" max="527" width="19.33203125" style="6" customWidth="1"/>
    <col min="528" max="764" width="9.109375" style="6"/>
    <col min="765" max="765" width="4.109375" style="6" customWidth="1"/>
    <col min="766" max="766" width="24.109375" style="6" customWidth="1"/>
    <col min="767" max="767" width="11" style="6" customWidth="1"/>
    <col min="768" max="768" width="15" style="6" customWidth="1"/>
    <col min="769" max="769" width="12.5546875" style="6" customWidth="1"/>
    <col min="770" max="770" width="16.109375" style="6" customWidth="1"/>
    <col min="771" max="771" width="20" style="6" customWidth="1"/>
    <col min="772" max="772" width="12.6640625" style="6" customWidth="1"/>
    <col min="773" max="773" width="13.33203125" style="6" customWidth="1"/>
    <col min="774" max="774" width="13" style="6" customWidth="1"/>
    <col min="775" max="775" width="11.88671875" style="6" customWidth="1"/>
    <col min="776" max="776" width="15.109375" style="6" customWidth="1"/>
    <col min="777" max="777" width="12.6640625" style="6" customWidth="1"/>
    <col min="778" max="778" width="11.44140625" style="6" customWidth="1"/>
    <col min="779" max="779" width="13.33203125" style="6" customWidth="1"/>
    <col min="780" max="781" width="9.109375" style="6"/>
    <col min="782" max="782" width="22.44140625" style="6" customWidth="1"/>
    <col min="783" max="783" width="19.33203125" style="6" customWidth="1"/>
    <col min="784" max="1020" width="9.109375" style="6"/>
    <col min="1021" max="1021" width="4.109375" style="6" customWidth="1"/>
    <col min="1022" max="1022" width="24.109375" style="6" customWidth="1"/>
    <col min="1023" max="1023" width="11" style="6" customWidth="1"/>
    <col min="1024" max="1024" width="15" style="6" customWidth="1"/>
    <col min="1025" max="1025" width="12.5546875" style="6" customWidth="1"/>
    <col min="1026" max="1026" width="16.109375" style="6" customWidth="1"/>
    <col min="1027" max="1027" width="20" style="6" customWidth="1"/>
    <col min="1028" max="1028" width="12.6640625" style="6" customWidth="1"/>
    <col min="1029" max="1029" width="13.33203125" style="6" customWidth="1"/>
    <col min="1030" max="1030" width="13" style="6" customWidth="1"/>
    <col min="1031" max="1031" width="11.88671875" style="6" customWidth="1"/>
    <col min="1032" max="1032" width="15.109375" style="6" customWidth="1"/>
    <col min="1033" max="1033" width="12.6640625" style="6" customWidth="1"/>
    <col min="1034" max="1034" width="11.44140625" style="6" customWidth="1"/>
    <col min="1035" max="1035" width="13.33203125" style="6" customWidth="1"/>
    <col min="1036" max="1037" width="9.109375" style="6"/>
    <col min="1038" max="1038" width="22.44140625" style="6" customWidth="1"/>
    <col min="1039" max="1039" width="19.33203125" style="6" customWidth="1"/>
    <col min="1040" max="1276" width="9.109375" style="6"/>
    <col min="1277" max="1277" width="4.109375" style="6" customWidth="1"/>
    <col min="1278" max="1278" width="24.109375" style="6" customWidth="1"/>
    <col min="1279" max="1279" width="11" style="6" customWidth="1"/>
    <col min="1280" max="1280" width="15" style="6" customWidth="1"/>
    <col min="1281" max="1281" width="12.5546875" style="6" customWidth="1"/>
    <col min="1282" max="1282" width="16.109375" style="6" customWidth="1"/>
    <col min="1283" max="1283" width="20" style="6" customWidth="1"/>
    <col min="1284" max="1284" width="12.6640625" style="6" customWidth="1"/>
    <col min="1285" max="1285" width="13.33203125" style="6" customWidth="1"/>
    <col min="1286" max="1286" width="13" style="6" customWidth="1"/>
    <col min="1287" max="1287" width="11.88671875" style="6" customWidth="1"/>
    <col min="1288" max="1288" width="15.109375" style="6" customWidth="1"/>
    <col min="1289" max="1289" width="12.6640625" style="6" customWidth="1"/>
    <col min="1290" max="1290" width="11.44140625" style="6" customWidth="1"/>
    <col min="1291" max="1291" width="13.33203125" style="6" customWidth="1"/>
    <col min="1292" max="1293" width="9.109375" style="6"/>
    <col min="1294" max="1294" width="22.44140625" style="6" customWidth="1"/>
    <col min="1295" max="1295" width="19.33203125" style="6" customWidth="1"/>
    <col min="1296" max="1532" width="9.109375" style="6"/>
    <col min="1533" max="1533" width="4.109375" style="6" customWidth="1"/>
    <col min="1534" max="1534" width="24.109375" style="6" customWidth="1"/>
    <col min="1535" max="1535" width="11" style="6" customWidth="1"/>
    <col min="1536" max="1536" width="15" style="6" customWidth="1"/>
    <col min="1537" max="1537" width="12.5546875" style="6" customWidth="1"/>
    <col min="1538" max="1538" width="16.109375" style="6" customWidth="1"/>
    <col min="1539" max="1539" width="20" style="6" customWidth="1"/>
    <col min="1540" max="1540" width="12.6640625" style="6" customWidth="1"/>
    <col min="1541" max="1541" width="13.33203125" style="6" customWidth="1"/>
    <col min="1542" max="1542" width="13" style="6" customWidth="1"/>
    <col min="1543" max="1543" width="11.88671875" style="6" customWidth="1"/>
    <col min="1544" max="1544" width="15.109375" style="6" customWidth="1"/>
    <col min="1545" max="1545" width="12.6640625" style="6" customWidth="1"/>
    <col min="1546" max="1546" width="11.44140625" style="6" customWidth="1"/>
    <col min="1547" max="1547" width="13.33203125" style="6" customWidth="1"/>
    <col min="1548" max="1549" width="9.109375" style="6"/>
    <col min="1550" max="1550" width="22.44140625" style="6" customWidth="1"/>
    <col min="1551" max="1551" width="19.33203125" style="6" customWidth="1"/>
    <col min="1552" max="1788" width="9.109375" style="6"/>
    <col min="1789" max="1789" width="4.109375" style="6" customWidth="1"/>
    <col min="1790" max="1790" width="24.109375" style="6" customWidth="1"/>
    <col min="1791" max="1791" width="11" style="6" customWidth="1"/>
    <col min="1792" max="1792" width="15" style="6" customWidth="1"/>
    <col min="1793" max="1793" width="12.5546875" style="6" customWidth="1"/>
    <col min="1794" max="1794" width="16.109375" style="6" customWidth="1"/>
    <col min="1795" max="1795" width="20" style="6" customWidth="1"/>
    <col min="1796" max="1796" width="12.6640625" style="6" customWidth="1"/>
    <col min="1797" max="1797" width="13.33203125" style="6" customWidth="1"/>
    <col min="1798" max="1798" width="13" style="6" customWidth="1"/>
    <col min="1799" max="1799" width="11.88671875" style="6" customWidth="1"/>
    <col min="1800" max="1800" width="15.109375" style="6" customWidth="1"/>
    <col min="1801" max="1801" width="12.6640625" style="6" customWidth="1"/>
    <col min="1802" max="1802" width="11.44140625" style="6" customWidth="1"/>
    <col min="1803" max="1803" width="13.33203125" style="6" customWidth="1"/>
    <col min="1804" max="1805" width="9.109375" style="6"/>
    <col min="1806" max="1806" width="22.44140625" style="6" customWidth="1"/>
    <col min="1807" max="1807" width="19.33203125" style="6" customWidth="1"/>
    <col min="1808" max="2044" width="9.109375" style="6"/>
    <col min="2045" max="2045" width="4.109375" style="6" customWidth="1"/>
    <col min="2046" max="2046" width="24.109375" style="6" customWidth="1"/>
    <col min="2047" max="2047" width="11" style="6" customWidth="1"/>
    <col min="2048" max="2048" width="15" style="6" customWidth="1"/>
    <col min="2049" max="2049" width="12.5546875" style="6" customWidth="1"/>
    <col min="2050" max="2050" width="16.109375" style="6" customWidth="1"/>
    <col min="2051" max="2051" width="20" style="6" customWidth="1"/>
    <col min="2052" max="2052" width="12.6640625" style="6" customWidth="1"/>
    <col min="2053" max="2053" width="13.33203125" style="6" customWidth="1"/>
    <col min="2054" max="2054" width="13" style="6" customWidth="1"/>
    <col min="2055" max="2055" width="11.88671875" style="6" customWidth="1"/>
    <col min="2056" max="2056" width="15.109375" style="6" customWidth="1"/>
    <col min="2057" max="2057" width="12.6640625" style="6" customWidth="1"/>
    <col min="2058" max="2058" width="11.44140625" style="6" customWidth="1"/>
    <col min="2059" max="2059" width="13.33203125" style="6" customWidth="1"/>
    <col min="2060" max="2061" width="9.109375" style="6"/>
    <col min="2062" max="2062" width="22.44140625" style="6" customWidth="1"/>
    <col min="2063" max="2063" width="19.33203125" style="6" customWidth="1"/>
    <col min="2064" max="2300" width="9.109375" style="6"/>
    <col min="2301" max="2301" width="4.109375" style="6" customWidth="1"/>
    <col min="2302" max="2302" width="24.109375" style="6" customWidth="1"/>
    <col min="2303" max="2303" width="11" style="6" customWidth="1"/>
    <col min="2304" max="2304" width="15" style="6" customWidth="1"/>
    <col min="2305" max="2305" width="12.5546875" style="6" customWidth="1"/>
    <col min="2306" max="2306" width="16.109375" style="6" customWidth="1"/>
    <col min="2307" max="2307" width="20" style="6" customWidth="1"/>
    <col min="2308" max="2308" width="12.6640625" style="6" customWidth="1"/>
    <col min="2309" max="2309" width="13.33203125" style="6" customWidth="1"/>
    <col min="2310" max="2310" width="13" style="6" customWidth="1"/>
    <col min="2311" max="2311" width="11.88671875" style="6" customWidth="1"/>
    <col min="2312" max="2312" width="15.109375" style="6" customWidth="1"/>
    <col min="2313" max="2313" width="12.6640625" style="6" customWidth="1"/>
    <col min="2314" max="2314" width="11.44140625" style="6" customWidth="1"/>
    <col min="2315" max="2315" width="13.33203125" style="6" customWidth="1"/>
    <col min="2316" max="2317" width="9.109375" style="6"/>
    <col min="2318" max="2318" width="22.44140625" style="6" customWidth="1"/>
    <col min="2319" max="2319" width="19.33203125" style="6" customWidth="1"/>
    <col min="2320" max="2556" width="9.109375" style="6"/>
    <col min="2557" max="2557" width="4.109375" style="6" customWidth="1"/>
    <col min="2558" max="2558" width="24.109375" style="6" customWidth="1"/>
    <col min="2559" max="2559" width="11" style="6" customWidth="1"/>
    <col min="2560" max="2560" width="15" style="6" customWidth="1"/>
    <col min="2561" max="2561" width="12.5546875" style="6" customWidth="1"/>
    <col min="2562" max="2562" width="16.109375" style="6" customWidth="1"/>
    <col min="2563" max="2563" width="20" style="6" customWidth="1"/>
    <col min="2564" max="2564" width="12.6640625" style="6" customWidth="1"/>
    <col min="2565" max="2565" width="13.33203125" style="6" customWidth="1"/>
    <col min="2566" max="2566" width="13" style="6" customWidth="1"/>
    <col min="2567" max="2567" width="11.88671875" style="6" customWidth="1"/>
    <col min="2568" max="2568" width="15.109375" style="6" customWidth="1"/>
    <col min="2569" max="2569" width="12.6640625" style="6" customWidth="1"/>
    <col min="2570" max="2570" width="11.44140625" style="6" customWidth="1"/>
    <col min="2571" max="2571" width="13.33203125" style="6" customWidth="1"/>
    <col min="2572" max="2573" width="9.109375" style="6"/>
    <col min="2574" max="2574" width="22.44140625" style="6" customWidth="1"/>
    <col min="2575" max="2575" width="19.33203125" style="6" customWidth="1"/>
    <col min="2576" max="2812" width="9.109375" style="6"/>
    <col min="2813" max="2813" width="4.109375" style="6" customWidth="1"/>
    <col min="2814" max="2814" width="24.109375" style="6" customWidth="1"/>
    <col min="2815" max="2815" width="11" style="6" customWidth="1"/>
    <col min="2816" max="2816" width="15" style="6" customWidth="1"/>
    <col min="2817" max="2817" width="12.5546875" style="6" customWidth="1"/>
    <col min="2818" max="2818" width="16.109375" style="6" customWidth="1"/>
    <col min="2819" max="2819" width="20" style="6" customWidth="1"/>
    <col min="2820" max="2820" width="12.6640625" style="6" customWidth="1"/>
    <col min="2821" max="2821" width="13.33203125" style="6" customWidth="1"/>
    <col min="2822" max="2822" width="13" style="6" customWidth="1"/>
    <col min="2823" max="2823" width="11.88671875" style="6" customWidth="1"/>
    <col min="2824" max="2824" width="15.109375" style="6" customWidth="1"/>
    <col min="2825" max="2825" width="12.6640625" style="6" customWidth="1"/>
    <col min="2826" max="2826" width="11.44140625" style="6" customWidth="1"/>
    <col min="2827" max="2827" width="13.33203125" style="6" customWidth="1"/>
    <col min="2828" max="2829" width="9.109375" style="6"/>
    <col min="2830" max="2830" width="22.44140625" style="6" customWidth="1"/>
    <col min="2831" max="2831" width="19.33203125" style="6" customWidth="1"/>
    <col min="2832" max="3068" width="9.109375" style="6"/>
    <col min="3069" max="3069" width="4.109375" style="6" customWidth="1"/>
    <col min="3070" max="3070" width="24.109375" style="6" customWidth="1"/>
    <col min="3071" max="3071" width="11" style="6" customWidth="1"/>
    <col min="3072" max="3072" width="15" style="6" customWidth="1"/>
    <col min="3073" max="3073" width="12.5546875" style="6" customWidth="1"/>
    <col min="3074" max="3074" width="16.109375" style="6" customWidth="1"/>
    <col min="3075" max="3075" width="20" style="6" customWidth="1"/>
    <col min="3076" max="3076" width="12.6640625" style="6" customWidth="1"/>
    <col min="3077" max="3077" width="13.33203125" style="6" customWidth="1"/>
    <col min="3078" max="3078" width="13" style="6" customWidth="1"/>
    <col min="3079" max="3079" width="11.88671875" style="6" customWidth="1"/>
    <col min="3080" max="3080" width="15.109375" style="6" customWidth="1"/>
    <col min="3081" max="3081" width="12.6640625" style="6" customWidth="1"/>
    <col min="3082" max="3082" width="11.44140625" style="6" customWidth="1"/>
    <col min="3083" max="3083" width="13.33203125" style="6" customWidth="1"/>
    <col min="3084" max="3085" width="9.109375" style="6"/>
    <col min="3086" max="3086" width="22.44140625" style="6" customWidth="1"/>
    <col min="3087" max="3087" width="19.33203125" style="6" customWidth="1"/>
    <col min="3088" max="3324" width="9.109375" style="6"/>
    <col min="3325" max="3325" width="4.109375" style="6" customWidth="1"/>
    <col min="3326" max="3326" width="24.109375" style="6" customWidth="1"/>
    <col min="3327" max="3327" width="11" style="6" customWidth="1"/>
    <col min="3328" max="3328" width="15" style="6" customWidth="1"/>
    <col min="3329" max="3329" width="12.5546875" style="6" customWidth="1"/>
    <col min="3330" max="3330" width="16.109375" style="6" customWidth="1"/>
    <col min="3331" max="3331" width="20" style="6" customWidth="1"/>
    <col min="3332" max="3332" width="12.6640625" style="6" customWidth="1"/>
    <col min="3333" max="3333" width="13.33203125" style="6" customWidth="1"/>
    <col min="3334" max="3334" width="13" style="6" customWidth="1"/>
    <col min="3335" max="3335" width="11.88671875" style="6" customWidth="1"/>
    <col min="3336" max="3336" width="15.109375" style="6" customWidth="1"/>
    <col min="3337" max="3337" width="12.6640625" style="6" customWidth="1"/>
    <col min="3338" max="3338" width="11.44140625" style="6" customWidth="1"/>
    <col min="3339" max="3339" width="13.33203125" style="6" customWidth="1"/>
    <col min="3340" max="3341" width="9.109375" style="6"/>
    <col min="3342" max="3342" width="22.44140625" style="6" customWidth="1"/>
    <col min="3343" max="3343" width="19.33203125" style="6" customWidth="1"/>
    <col min="3344" max="3580" width="9.109375" style="6"/>
    <col min="3581" max="3581" width="4.109375" style="6" customWidth="1"/>
    <col min="3582" max="3582" width="24.109375" style="6" customWidth="1"/>
    <col min="3583" max="3583" width="11" style="6" customWidth="1"/>
    <col min="3584" max="3584" width="15" style="6" customWidth="1"/>
    <col min="3585" max="3585" width="12.5546875" style="6" customWidth="1"/>
    <col min="3586" max="3586" width="16.109375" style="6" customWidth="1"/>
    <col min="3587" max="3587" width="20" style="6" customWidth="1"/>
    <col min="3588" max="3588" width="12.6640625" style="6" customWidth="1"/>
    <col min="3589" max="3589" width="13.33203125" style="6" customWidth="1"/>
    <col min="3590" max="3590" width="13" style="6" customWidth="1"/>
    <col min="3591" max="3591" width="11.88671875" style="6" customWidth="1"/>
    <col min="3592" max="3592" width="15.109375" style="6" customWidth="1"/>
    <col min="3593" max="3593" width="12.6640625" style="6" customWidth="1"/>
    <col min="3594" max="3594" width="11.44140625" style="6" customWidth="1"/>
    <col min="3595" max="3595" width="13.33203125" style="6" customWidth="1"/>
    <col min="3596" max="3597" width="9.109375" style="6"/>
    <col min="3598" max="3598" width="22.44140625" style="6" customWidth="1"/>
    <col min="3599" max="3599" width="19.33203125" style="6" customWidth="1"/>
    <col min="3600" max="3836" width="9.109375" style="6"/>
    <col min="3837" max="3837" width="4.109375" style="6" customWidth="1"/>
    <col min="3838" max="3838" width="24.109375" style="6" customWidth="1"/>
    <col min="3839" max="3839" width="11" style="6" customWidth="1"/>
    <col min="3840" max="3840" width="15" style="6" customWidth="1"/>
    <col min="3841" max="3841" width="12.5546875" style="6" customWidth="1"/>
    <col min="3842" max="3842" width="16.109375" style="6" customWidth="1"/>
    <col min="3843" max="3843" width="20" style="6" customWidth="1"/>
    <col min="3844" max="3844" width="12.6640625" style="6" customWidth="1"/>
    <col min="3845" max="3845" width="13.33203125" style="6" customWidth="1"/>
    <col min="3846" max="3846" width="13" style="6" customWidth="1"/>
    <col min="3847" max="3847" width="11.88671875" style="6" customWidth="1"/>
    <col min="3848" max="3848" width="15.109375" style="6" customWidth="1"/>
    <col min="3849" max="3849" width="12.6640625" style="6" customWidth="1"/>
    <col min="3850" max="3850" width="11.44140625" style="6" customWidth="1"/>
    <col min="3851" max="3851" width="13.33203125" style="6" customWidth="1"/>
    <col min="3852" max="3853" width="9.109375" style="6"/>
    <col min="3854" max="3854" width="22.44140625" style="6" customWidth="1"/>
    <col min="3855" max="3855" width="19.33203125" style="6" customWidth="1"/>
    <col min="3856" max="4092" width="9.109375" style="6"/>
    <col min="4093" max="4093" width="4.109375" style="6" customWidth="1"/>
    <col min="4094" max="4094" width="24.109375" style="6" customWidth="1"/>
    <col min="4095" max="4095" width="11" style="6" customWidth="1"/>
    <col min="4096" max="4096" width="15" style="6" customWidth="1"/>
    <col min="4097" max="4097" width="12.5546875" style="6" customWidth="1"/>
    <col min="4098" max="4098" width="16.109375" style="6" customWidth="1"/>
    <col min="4099" max="4099" width="20" style="6" customWidth="1"/>
    <col min="4100" max="4100" width="12.6640625" style="6" customWidth="1"/>
    <col min="4101" max="4101" width="13.33203125" style="6" customWidth="1"/>
    <col min="4102" max="4102" width="13" style="6" customWidth="1"/>
    <col min="4103" max="4103" width="11.88671875" style="6" customWidth="1"/>
    <col min="4104" max="4104" width="15.109375" style="6" customWidth="1"/>
    <col min="4105" max="4105" width="12.6640625" style="6" customWidth="1"/>
    <col min="4106" max="4106" width="11.44140625" style="6" customWidth="1"/>
    <col min="4107" max="4107" width="13.33203125" style="6" customWidth="1"/>
    <col min="4108" max="4109" width="9.109375" style="6"/>
    <col min="4110" max="4110" width="22.44140625" style="6" customWidth="1"/>
    <col min="4111" max="4111" width="19.33203125" style="6" customWidth="1"/>
    <col min="4112" max="4348" width="9.109375" style="6"/>
    <col min="4349" max="4349" width="4.109375" style="6" customWidth="1"/>
    <col min="4350" max="4350" width="24.109375" style="6" customWidth="1"/>
    <col min="4351" max="4351" width="11" style="6" customWidth="1"/>
    <col min="4352" max="4352" width="15" style="6" customWidth="1"/>
    <col min="4353" max="4353" width="12.5546875" style="6" customWidth="1"/>
    <col min="4354" max="4354" width="16.109375" style="6" customWidth="1"/>
    <col min="4355" max="4355" width="20" style="6" customWidth="1"/>
    <col min="4356" max="4356" width="12.6640625" style="6" customWidth="1"/>
    <col min="4357" max="4357" width="13.33203125" style="6" customWidth="1"/>
    <col min="4358" max="4358" width="13" style="6" customWidth="1"/>
    <col min="4359" max="4359" width="11.88671875" style="6" customWidth="1"/>
    <col min="4360" max="4360" width="15.109375" style="6" customWidth="1"/>
    <col min="4361" max="4361" width="12.6640625" style="6" customWidth="1"/>
    <col min="4362" max="4362" width="11.44140625" style="6" customWidth="1"/>
    <col min="4363" max="4363" width="13.33203125" style="6" customWidth="1"/>
    <col min="4364" max="4365" width="9.109375" style="6"/>
    <col min="4366" max="4366" width="22.44140625" style="6" customWidth="1"/>
    <col min="4367" max="4367" width="19.33203125" style="6" customWidth="1"/>
    <col min="4368" max="4604" width="9.109375" style="6"/>
    <col min="4605" max="4605" width="4.109375" style="6" customWidth="1"/>
    <col min="4606" max="4606" width="24.109375" style="6" customWidth="1"/>
    <col min="4607" max="4607" width="11" style="6" customWidth="1"/>
    <col min="4608" max="4608" width="15" style="6" customWidth="1"/>
    <col min="4609" max="4609" width="12.5546875" style="6" customWidth="1"/>
    <col min="4610" max="4610" width="16.109375" style="6" customWidth="1"/>
    <col min="4611" max="4611" width="20" style="6" customWidth="1"/>
    <col min="4612" max="4612" width="12.6640625" style="6" customWidth="1"/>
    <col min="4613" max="4613" width="13.33203125" style="6" customWidth="1"/>
    <col min="4614" max="4614" width="13" style="6" customWidth="1"/>
    <col min="4615" max="4615" width="11.88671875" style="6" customWidth="1"/>
    <col min="4616" max="4616" width="15.109375" style="6" customWidth="1"/>
    <col min="4617" max="4617" width="12.6640625" style="6" customWidth="1"/>
    <col min="4618" max="4618" width="11.44140625" style="6" customWidth="1"/>
    <col min="4619" max="4619" width="13.33203125" style="6" customWidth="1"/>
    <col min="4620" max="4621" width="9.109375" style="6"/>
    <col min="4622" max="4622" width="22.44140625" style="6" customWidth="1"/>
    <col min="4623" max="4623" width="19.33203125" style="6" customWidth="1"/>
    <col min="4624" max="4860" width="9.109375" style="6"/>
    <col min="4861" max="4861" width="4.109375" style="6" customWidth="1"/>
    <col min="4862" max="4862" width="24.109375" style="6" customWidth="1"/>
    <col min="4863" max="4863" width="11" style="6" customWidth="1"/>
    <col min="4864" max="4864" width="15" style="6" customWidth="1"/>
    <col min="4865" max="4865" width="12.5546875" style="6" customWidth="1"/>
    <col min="4866" max="4866" width="16.109375" style="6" customWidth="1"/>
    <col min="4867" max="4867" width="20" style="6" customWidth="1"/>
    <col min="4868" max="4868" width="12.6640625" style="6" customWidth="1"/>
    <col min="4869" max="4869" width="13.33203125" style="6" customWidth="1"/>
    <col min="4870" max="4870" width="13" style="6" customWidth="1"/>
    <col min="4871" max="4871" width="11.88671875" style="6" customWidth="1"/>
    <col min="4872" max="4872" width="15.109375" style="6" customWidth="1"/>
    <col min="4873" max="4873" width="12.6640625" style="6" customWidth="1"/>
    <col min="4874" max="4874" width="11.44140625" style="6" customWidth="1"/>
    <col min="4875" max="4875" width="13.33203125" style="6" customWidth="1"/>
    <col min="4876" max="4877" width="9.109375" style="6"/>
    <col min="4878" max="4878" width="22.44140625" style="6" customWidth="1"/>
    <col min="4879" max="4879" width="19.33203125" style="6" customWidth="1"/>
    <col min="4880" max="5116" width="9.109375" style="6"/>
    <col min="5117" max="5117" width="4.109375" style="6" customWidth="1"/>
    <col min="5118" max="5118" width="24.109375" style="6" customWidth="1"/>
    <col min="5119" max="5119" width="11" style="6" customWidth="1"/>
    <col min="5120" max="5120" width="15" style="6" customWidth="1"/>
    <col min="5121" max="5121" width="12.5546875" style="6" customWidth="1"/>
    <col min="5122" max="5122" width="16.109375" style="6" customWidth="1"/>
    <col min="5123" max="5123" width="20" style="6" customWidth="1"/>
    <col min="5124" max="5124" width="12.6640625" style="6" customWidth="1"/>
    <col min="5125" max="5125" width="13.33203125" style="6" customWidth="1"/>
    <col min="5126" max="5126" width="13" style="6" customWidth="1"/>
    <col min="5127" max="5127" width="11.88671875" style="6" customWidth="1"/>
    <col min="5128" max="5128" width="15.109375" style="6" customWidth="1"/>
    <col min="5129" max="5129" width="12.6640625" style="6" customWidth="1"/>
    <col min="5130" max="5130" width="11.44140625" style="6" customWidth="1"/>
    <col min="5131" max="5131" width="13.33203125" style="6" customWidth="1"/>
    <col min="5132" max="5133" width="9.109375" style="6"/>
    <col min="5134" max="5134" width="22.44140625" style="6" customWidth="1"/>
    <col min="5135" max="5135" width="19.33203125" style="6" customWidth="1"/>
    <col min="5136" max="5372" width="9.109375" style="6"/>
    <col min="5373" max="5373" width="4.109375" style="6" customWidth="1"/>
    <col min="5374" max="5374" width="24.109375" style="6" customWidth="1"/>
    <col min="5375" max="5375" width="11" style="6" customWidth="1"/>
    <col min="5376" max="5376" width="15" style="6" customWidth="1"/>
    <col min="5377" max="5377" width="12.5546875" style="6" customWidth="1"/>
    <col min="5378" max="5378" width="16.109375" style="6" customWidth="1"/>
    <col min="5379" max="5379" width="20" style="6" customWidth="1"/>
    <col min="5380" max="5380" width="12.6640625" style="6" customWidth="1"/>
    <col min="5381" max="5381" width="13.33203125" style="6" customWidth="1"/>
    <col min="5382" max="5382" width="13" style="6" customWidth="1"/>
    <col min="5383" max="5383" width="11.88671875" style="6" customWidth="1"/>
    <col min="5384" max="5384" width="15.109375" style="6" customWidth="1"/>
    <col min="5385" max="5385" width="12.6640625" style="6" customWidth="1"/>
    <col min="5386" max="5386" width="11.44140625" style="6" customWidth="1"/>
    <col min="5387" max="5387" width="13.33203125" style="6" customWidth="1"/>
    <col min="5388" max="5389" width="9.109375" style="6"/>
    <col min="5390" max="5390" width="22.44140625" style="6" customWidth="1"/>
    <col min="5391" max="5391" width="19.33203125" style="6" customWidth="1"/>
    <col min="5392" max="5628" width="9.109375" style="6"/>
    <col min="5629" max="5629" width="4.109375" style="6" customWidth="1"/>
    <col min="5630" max="5630" width="24.109375" style="6" customWidth="1"/>
    <col min="5631" max="5631" width="11" style="6" customWidth="1"/>
    <col min="5632" max="5632" width="15" style="6" customWidth="1"/>
    <col min="5633" max="5633" width="12.5546875" style="6" customWidth="1"/>
    <col min="5634" max="5634" width="16.109375" style="6" customWidth="1"/>
    <col min="5635" max="5635" width="20" style="6" customWidth="1"/>
    <col min="5636" max="5636" width="12.6640625" style="6" customWidth="1"/>
    <col min="5637" max="5637" width="13.33203125" style="6" customWidth="1"/>
    <col min="5638" max="5638" width="13" style="6" customWidth="1"/>
    <col min="5639" max="5639" width="11.88671875" style="6" customWidth="1"/>
    <col min="5640" max="5640" width="15.109375" style="6" customWidth="1"/>
    <col min="5641" max="5641" width="12.6640625" style="6" customWidth="1"/>
    <col min="5642" max="5642" width="11.44140625" style="6" customWidth="1"/>
    <col min="5643" max="5643" width="13.33203125" style="6" customWidth="1"/>
    <col min="5644" max="5645" width="9.109375" style="6"/>
    <col min="5646" max="5646" width="22.44140625" style="6" customWidth="1"/>
    <col min="5647" max="5647" width="19.33203125" style="6" customWidth="1"/>
    <col min="5648" max="5884" width="9.109375" style="6"/>
    <col min="5885" max="5885" width="4.109375" style="6" customWidth="1"/>
    <col min="5886" max="5886" width="24.109375" style="6" customWidth="1"/>
    <col min="5887" max="5887" width="11" style="6" customWidth="1"/>
    <col min="5888" max="5888" width="15" style="6" customWidth="1"/>
    <col min="5889" max="5889" width="12.5546875" style="6" customWidth="1"/>
    <col min="5890" max="5890" width="16.109375" style="6" customWidth="1"/>
    <col min="5891" max="5891" width="20" style="6" customWidth="1"/>
    <col min="5892" max="5892" width="12.6640625" style="6" customWidth="1"/>
    <col min="5893" max="5893" width="13.33203125" style="6" customWidth="1"/>
    <col min="5894" max="5894" width="13" style="6" customWidth="1"/>
    <col min="5895" max="5895" width="11.88671875" style="6" customWidth="1"/>
    <col min="5896" max="5896" width="15.109375" style="6" customWidth="1"/>
    <col min="5897" max="5897" width="12.6640625" style="6" customWidth="1"/>
    <col min="5898" max="5898" width="11.44140625" style="6" customWidth="1"/>
    <col min="5899" max="5899" width="13.33203125" style="6" customWidth="1"/>
    <col min="5900" max="5901" width="9.109375" style="6"/>
    <col min="5902" max="5902" width="22.44140625" style="6" customWidth="1"/>
    <col min="5903" max="5903" width="19.33203125" style="6" customWidth="1"/>
    <col min="5904" max="6140" width="9.109375" style="6"/>
    <col min="6141" max="6141" width="4.109375" style="6" customWidth="1"/>
    <col min="6142" max="6142" width="24.109375" style="6" customWidth="1"/>
    <col min="6143" max="6143" width="11" style="6" customWidth="1"/>
    <col min="6144" max="6144" width="15" style="6" customWidth="1"/>
    <col min="6145" max="6145" width="12.5546875" style="6" customWidth="1"/>
    <col min="6146" max="6146" width="16.109375" style="6" customWidth="1"/>
    <col min="6147" max="6147" width="20" style="6" customWidth="1"/>
    <col min="6148" max="6148" width="12.6640625" style="6" customWidth="1"/>
    <col min="6149" max="6149" width="13.33203125" style="6" customWidth="1"/>
    <col min="6150" max="6150" width="13" style="6" customWidth="1"/>
    <col min="6151" max="6151" width="11.88671875" style="6" customWidth="1"/>
    <col min="6152" max="6152" width="15.109375" style="6" customWidth="1"/>
    <col min="6153" max="6153" width="12.6640625" style="6" customWidth="1"/>
    <col min="6154" max="6154" width="11.44140625" style="6" customWidth="1"/>
    <col min="6155" max="6155" width="13.33203125" style="6" customWidth="1"/>
    <col min="6156" max="6157" width="9.109375" style="6"/>
    <col min="6158" max="6158" width="22.44140625" style="6" customWidth="1"/>
    <col min="6159" max="6159" width="19.33203125" style="6" customWidth="1"/>
    <col min="6160" max="6396" width="9.109375" style="6"/>
    <col min="6397" max="6397" width="4.109375" style="6" customWidth="1"/>
    <col min="6398" max="6398" width="24.109375" style="6" customWidth="1"/>
    <col min="6399" max="6399" width="11" style="6" customWidth="1"/>
    <col min="6400" max="6400" width="15" style="6" customWidth="1"/>
    <col min="6401" max="6401" width="12.5546875" style="6" customWidth="1"/>
    <col min="6402" max="6402" width="16.109375" style="6" customWidth="1"/>
    <col min="6403" max="6403" width="20" style="6" customWidth="1"/>
    <col min="6404" max="6404" width="12.6640625" style="6" customWidth="1"/>
    <col min="6405" max="6405" width="13.33203125" style="6" customWidth="1"/>
    <col min="6406" max="6406" width="13" style="6" customWidth="1"/>
    <col min="6407" max="6407" width="11.88671875" style="6" customWidth="1"/>
    <col min="6408" max="6408" width="15.109375" style="6" customWidth="1"/>
    <col min="6409" max="6409" width="12.6640625" style="6" customWidth="1"/>
    <col min="6410" max="6410" width="11.44140625" style="6" customWidth="1"/>
    <col min="6411" max="6411" width="13.33203125" style="6" customWidth="1"/>
    <col min="6412" max="6413" width="9.109375" style="6"/>
    <col min="6414" max="6414" width="22.44140625" style="6" customWidth="1"/>
    <col min="6415" max="6415" width="19.33203125" style="6" customWidth="1"/>
    <col min="6416" max="6652" width="9.109375" style="6"/>
    <col min="6653" max="6653" width="4.109375" style="6" customWidth="1"/>
    <col min="6654" max="6654" width="24.109375" style="6" customWidth="1"/>
    <col min="6655" max="6655" width="11" style="6" customWidth="1"/>
    <col min="6656" max="6656" width="15" style="6" customWidth="1"/>
    <col min="6657" max="6657" width="12.5546875" style="6" customWidth="1"/>
    <col min="6658" max="6658" width="16.109375" style="6" customWidth="1"/>
    <col min="6659" max="6659" width="20" style="6" customWidth="1"/>
    <col min="6660" max="6660" width="12.6640625" style="6" customWidth="1"/>
    <col min="6661" max="6661" width="13.33203125" style="6" customWidth="1"/>
    <col min="6662" max="6662" width="13" style="6" customWidth="1"/>
    <col min="6663" max="6663" width="11.88671875" style="6" customWidth="1"/>
    <col min="6664" max="6664" width="15.109375" style="6" customWidth="1"/>
    <col min="6665" max="6665" width="12.6640625" style="6" customWidth="1"/>
    <col min="6666" max="6666" width="11.44140625" style="6" customWidth="1"/>
    <col min="6667" max="6667" width="13.33203125" style="6" customWidth="1"/>
    <col min="6668" max="6669" width="9.109375" style="6"/>
    <col min="6670" max="6670" width="22.44140625" style="6" customWidth="1"/>
    <col min="6671" max="6671" width="19.33203125" style="6" customWidth="1"/>
    <col min="6672" max="6908" width="9.109375" style="6"/>
    <col min="6909" max="6909" width="4.109375" style="6" customWidth="1"/>
    <col min="6910" max="6910" width="24.109375" style="6" customWidth="1"/>
    <col min="6911" max="6911" width="11" style="6" customWidth="1"/>
    <col min="6912" max="6912" width="15" style="6" customWidth="1"/>
    <col min="6913" max="6913" width="12.5546875" style="6" customWidth="1"/>
    <col min="6914" max="6914" width="16.109375" style="6" customWidth="1"/>
    <col min="6915" max="6915" width="20" style="6" customWidth="1"/>
    <col min="6916" max="6916" width="12.6640625" style="6" customWidth="1"/>
    <col min="6917" max="6917" width="13.33203125" style="6" customWidth="1"/>
    <col min="6918" max="6918" width="13" style="6" customWidth="1"/>
    <col min="6919" max="6919" width="11.88671875" style="6" customWidth="1"/>
    <col min="6920" max="6920" width="15.109375" style="6" customWidth="1"/>
    <col min="6921" max="6921" width="12.6640625" style="6" customWidth="1"/>
    <col min="6922" max="6922" width="11.44140625" style="6" customWidth="1"/>
    <col min="6923" max="6923" width="13.33203125" style="6" customWidth="1"/>
    <col min="6924" max="6925" width="9.109375" style="6"/>
    <col min="6926" max="6926" width="22.44140625" style="6" customWidth="1"/>
    <col min="6927" max="6927" width="19.33203125" style="6" customWidth="1"/>
    <col min="6928" max="7164" width="9.109375" style="6"/>
    <col min="7165" max="7165" width="4.109375" style="6" customWidth="1"/>
    <col min="7166" max="7166" width="24.109375" style="6" customWidth="1"/>
    <col min="7167" max="7167" width="11" style="6" customWidth="1"/>
    <col min="7168" max="7168" width="15" style="6" customWidth="1"/>
    <col min="7169" max="7169" width="12.5546875" style="6" customWidth="1"/>
    <col min="7170" max="7170" width="16.109375" style="6" customWidth="1"/>
    <col min="7171" max="7171" width="20" style="6" customWidth="1"/>
    <col min="7172" max="7172" width="12.6640625" style="6" customWidth="1"/>
    <col min="7173" max="7173" width="13.33203125" style="6" customWidth="1"/>
    <col min="7174" max="7174" width="13" style="6" customWidth="1"/>
    <col min="7175" max="7175" width="11.88671875" style="6" customWidth="1"/>
    <col min="7176" max="7176" width="15.109375" style="6" customWidth="1"/>
    <col min="7177" max="7177" width="12.6640625" style="6" customWidth="1"/>
    <col min="7178" max="7178" width="11.44140625" style="6" customWidth="1"/>
    <col min="7179" max="7179" width="13.33203125" style="6" customWidth="1"/>
    <col min="7180" max="7181" width="9.109375" style="6"/>
    <col min="7182" max="7182" width="22.44140625" style="6" customWidth="1"/>
    <col min="7183" max="7183" width="19.33203125" style="6" customWidth="1"/>
    <col min="7184" max="7420" width="9.109375" style="6"/>
    <col min="7421" max="7421" width="4.109375" style="6" customWidth="1"/>
    <col min="7422" max="7422" width="24.109375" style="6" customWidth="1"/>
    <col min="7423" max="7423" width="11" style="6" customWidth="1"/>
    <col min="7424" max="7424" width="15" style="6" customWidth="1"/>
    <col min="7425" max="7425" width="12.5546875" style="6" customWidth="1"/>
    <col min="7426" max="7426" width="16.109375" style="6" customWidth="1"/>
    <col min="7427" max="7427" width="20" style="6" customWidth="1"/>
    <col min="7428" max="7428" width="12.6640625" style="6" customWidth="1"/>
    <col min="7429" max="7429" width="13.33203125" style="6" customWidth="1"/>
    <col min="7430" max="7430" width="13" style="6" customWidth="1"/>
    <col min="7431" max="7431" width="11.88671875" style="6" customWidth="1"/>
    <col min="7432" max="7432" width="15.109375" style="6" customWidth="1"/>
    <col min="7433" max="7433" width="12.6640625" style="6" customWidth="1"/>
    <col min="7434" max="7434" width="11.44140625" style="6" customWidth="1"/>
    <col min="7435" max="7435" width="13.33203125" style="6" customWidth="1"/>
    <col min="7436" max="7437" width="9.109375" style="6"/>
    <col min="7438" max="7438" width="22.44140625" style="6" customWidth="1"/>
    <col min="7439" max="7439" width="19.33203125" style="6" customWidth="1"/>
    <col min="7440" max="7676" width="9.109375" style="6"/>
    <col min="7677" max="7677" width="4.109375" style="6" customWidth="1"/>
    <col min="7678" max="7678" width="24.109375" style="6" customWidth="1"/>
    <col min="7679" max="7679" width="11" style="6" customWidth="1"/>
    <col min="7680" max="7680" width="15" style="6" customWidth="1"/>
    <col min="7681" max="7681" width="12.5546875" style="6" customWidth="1"/>
    <col min="7682" max="7682" width="16.109375" style="6" customWidth="1"/>
    <col min="7683" max="7683" width="20" style="6" customWidth="1"/>
    <col min="7684" max="7684" width="12.6640625" style="6" customWidth="1"/>
    <col min="7685" max="7685" width="13.33203125" style="6" customWidth="1"/>
    <col min="7686" max="7686" width="13" style="6" customWidth="1"/>
    <col min="7687" max="7687" width="11.88671875" style="6" customWidth="1"/>
    <col min="7688" max="7688" width="15.109375" style="6" customWidth="1"/>
    <col min="7689" max="7689" width="12.6640625" style="6" customWidth="1"/>
    <col min="7690" max="7690" width="11.44140625" style="6" customWidth="1"/>
    <col min="7691" max="7691" width="13.33203125" style="6" customWidth="1"/>
    <col min="7692" max="7693" width="9.109375" style="6"/>
    <col min="7694" max="7694" width="22.44140625" style="6" customWidth="1"/>
    <col min="7695" max="7695" width="19.33203125" style="6" customWidth="1"/>
    <col min="7696" max="7932" width="9.109375" style="6"/>
    <col min="7933" max="7933" width="4.109375" style="6" customWidth="1"/>
    <col min="7934" max="7934" width="24.109375" style="6" customWidth="1"/>
    <col min="7935" max="7935" width="11" style="6" customWidth="1"/>
    <col min="7936" max="7936" width="15" style="6" customWidth="1"/>
    <col min="7937" max="7937" width="12.5546875" style="6" customWidth="1"/>
    <col min="7938" max="7938" width="16.109375" style="6" customWidth="1"/>
    <col min="7939" max="7939" width="20" style="6" customWidth="1"/>
    <col min="7940" max="7940" width="12.6640625" style="6" customWidth="1"/>
    <col min="7941" max="7941" width="13.33203125" style="6" customWidth="1"/>
    <col min="7942" max="7942" width="13" style="6" customWidth="1"/>
    <col min="7943" max="7943" width="11.88671875" style="6" customWidth="1"/>
    <col min="7944" max="7944" width="15.109375" style="6" customWidth="1"/>
    <col min="7945" max="7945" width="12.6640625" style="6" customWidth="1"/>
    <col min="7946" max="7946" width="11.44140625" style="6" customWidth="1"/>
    <col min="7947" max="7947" width="13.33203125" style="6" customWidth="1"/>
    <col min="7948" max="7949" width="9.109375" style="6"/>
    <col min="7950" max="7950" width="22.44140625" style="6" customWidth="1"/>
    <col min="7951" max="7951" width="19.33203125" style="6" customWidth="1"/>
    <col min="7952" max="8188" width="9.109375" style="6"/>
    <col min="8189" max="8189" width="4.109375" style="6" customWidth="1"/>
    <col min="8190" max="8190" width="24.109375" style="6" customWidth="1"/>
    <col min="8191" max="8191" width="11" style="6" customWidth="1"/>
    <col min="8192" max="8192" width="15" style="6" customWidth="1"/>
    <col min="8193" max="8193" width="12.5546875" style="6" customWidth="1"/>
    <col min="8194" max="8194" width="16.109375" style="6" customWidth="1"/>
    <col min="8195" max="8195" width="20" style="6" customWidth="1"/>
    <col min="8196" max="8196" width="12.6640625" style="6" customWidth="1"/>
    <col min="8197" max="8197" width="13.33203125" style="6" customWidth="1"/>
    <col min="8198" max="8198" width="13" style="6" customWidth="1"/>
    <col min="8199" max="8199" width="11.88671875" style="6" customWidth="1"/>
    <col min="8200" max="8200" width="15.109375" style="6" customWidth="1"/>
    <col min="8201" max="8201" width="12.6640625" style="6" customWidth="1"/>
    <col min="8202" max="8202" width="11.44140625" style="6" customWidth="1"/>
    <col min="8203" max="8203" width="13.33203125" style="6" customWidth="1"/>
    <col min="8204" max="8205" width="9.109375" style="6"/>
    <col min="8206" max="8206" width="22.44140625" style="6" customWidth="1"/>
    <col min="8207" max="8207" width="19.33203125" style="6" customWidth="1"/>
    <col min="8208" max="8444" width="9.109375" style="6"/>
    <col min="8445" max="8445" width="4.109375" style="6" customWidth="1"/>
    <col min="8446" max="8446" width="24.109375" style="6" customWidth="1"/>
    <col min="8447" max="8447" width="11" style="6" customWidth="1"/>
    <col min="8448" max="8448" width="15" style="6" customWidth="1"/>
    <col min="8449" max="8449" width="12.5546875" style="6" customWidth="1"/>
    <col min="8450" max="8450" width="16.109375" style="6" customWidth="1"/>
    <col min="8451" max="8451" width="20" style="6" customWidth="1"/>
    <col min="8452" max="8452" width="12.6640625" style="6" customWidth="1"/>
    <col min="8453" max="8453" width="13.33203125" style="6" customWidth="1"/>
    <col min="8454" max="8454" width="13" style="6" customWidth="1"/>
    <col min="8455" max="8455" width="11.88671875" style="6" customWidth="1"/>
    <col min="8456" max="8456" width="15.109375" style="6" customWidth="1"/>
    <col min="8457" max="8457" width="12.6640625" style="6" customWidth="1"/>
    <col min="8458" max="8458" width="11.44140625" style="6" customWidth="1"/>
    <col min="8459" max="8459" width="13.33203125" style="6" customWidth="1"/>
    <col min="8460" max="8461" width="9.109375" style="6"/>
    <col min="8462" max="8462" width="22.44140625" style="6" customWidth="1"/>
    <col min="8463" max="8463" width="19.33203125" style="6" customWidth="1"/>
    <col min="8464" max="8700" width="9.109375" style="6"/>
    <col min="8701" max="8701" width="4.109375" style="6" customWidth="1"/>
    <col min="8702" max="8702" width="24.109375" style="6" customWidth="1"/>
    <col min="8703" max="8703" width="11" style="6" customWidth="1"/>
    <col min="8704" max="8704" width="15" style="6" customWidth="1"/>
    <col min="8705" max="8705" width="12.5546875" style="6" customWidth="1"/>
    <col min="8706" max="8706" width="16.109375" style="6" customWidth="1"/>
    <col min="8707" max="8707" width="20" style="6" customWidth="1"/>
    <col min="8708" max="8708" width="12.6640625" style="6" customWidth="1"/>
    <col min="8709" max="8709" width="13.33203125" style="6" customWidth="1"/>
    <col min="8710" max="8710" width="13" style="6" customWidth="1"/>
    <col min="8711" max="8711" width="11.88671875" style="6" customWidth="1"/>
    <col min="8712" max="8712" width="15.109375" style="6" customWidth="1"/>
    <col min="8713" max="8713" width="12.6640625" style="6" customWidth="1"/>
    <col min="8714" max="8714" width="11.44140625" style="6" customWidth="1"/>
    <col min="8715" max="8715" width="13.33203125" style="6" customWidth="1"/>
    <col min="8716" max="8717" width="9.109375" style="6"/>
    <col min="8718" max="8718" width="22.44140625" style="6" customWidth="1"/>
    <col min="8719" max="8719" width="19.33203125" style="6" customWidth="1"/>
    <col min="8720" max="8956" width="9.109375" style="6"/>
    <col min="8957" max="8957" width="4.109375" style="6" customWidth="1"/>
    <col min="8958" max="8958" width="24.109375" style="6" customWidth="1"/>
    <col min="8959" max="8959" width="11" style="6" customWidth="1"/>
    <col min="8960" max="8960" width="15" style="6" customWidth="1"/>
    <col min="8961" max="8961" width="12.5546875" style="6" customWidth="1"/>
    <col min="8962" max="8962" width="16.109375" style="6" customWidth="1"/>
    <col min="8963" max="8963" width="20" style="6" customWidth="1"/>
    <col min="8964" max="8964" width="12.6640625" style="6" customWidth="1"/>
    <col min="8965" max="8965" width="13.33203125" style="6" customWidth="1"/>
    <col min="8966" max="8966" width="13" style="6" customWidth="1"/>
    <col min="8967" max="8967" width="11.88671875" style="6" customWidth="1"/>
    <col min="8968" max="8968" width="15.109375" style="6" customWidth="1"/>
    <col min="8969" max="8969" width="12.6640625" style="6" customWidth="1"/>
    <col min="8970" max="8970" width="11.44140625" style="6" customWidth="1"/>
    <col min="8971" max="8971" width="13.33203125" style="6" customWidth="1"/>
    <col min="8972" max="8973" width="9.109375" style="6"/>
    <col min="8974" max="8974" width="22.44140625" style="6" customWidth="1"/>
    <col min="8975" max="8975" width="19.33203125" style="6" customWidth="1"/>
    <col min="8976" max="9212" width="9.109375" style="6"/>
    <col min="9213" max="9213" width="4.109375" style="6" customWidth="1"/>
    <col min="9214" max="9214" width="24.109375" style="6" customWidth="1"/>
    <col min="9215" max="9215" width="11" style="6" customWidth="1"/>
    <col min="9216" max="9216" width="15" style="6" customWidth="1"/>
    <col min="9217" max="9217" width="12.5546875" style="6" customWidth="1"/>
    <col min="9218" max="9218" width="16.109375" style="6" customWidth="1"/>
    <col min="9219" max="9219" width="20" style="6" customWidth="1"/>
    <col min="9220" max="9220" width="12.6640625" style="6" customWidth="1"/>
    <col min="9221" max="9221" width="13.33203125" style="6" customWidth="1"/>
    <col min="9222" max="9222" width="13" style="6" customWidth="1"/>
    <col min="9223" max="9223" width="11.88671875" style="6" customWidth="1"/>
    <col min="9224" max="9224" width="15.109375" style="6" customWidth="1"/>
    <col min="9225" max="9225" width="12.6640625" style="6" customWidth="1"/>
    <col min="9226" max="9226" width="11.44140625" style="6" customWidth="1"/>
    <col min="9227" max="9227" width="13.33203125" style="6" customWidth="1"/>
    <col min="9228" max="9229" width="9.109375" style="6"/>
    <col min="9230" max="9230" width="22.44140625" style="6" customWidth="1"/>
    <col min="9231" max="9231" width="19.33203125" style="6" customWidth="1"/>
    <col min="9232" max="9468" width="9.109375" style="6"/>
    <col min="9469" max="9469" width="4.109375" style="6" customWidth="1"/>
    <col min="9470" max="9470" width="24.109375" style="6" customWidth="1"/>
    <col min="9471" max="9471" width="11" style="6" customWidth="1"/>
    <col min="9472" max="9472" width="15" style="6" customWidth="1"/>
    <col min="9473" max="9473" width="12.5546875" style="6" customWidth="1"/>
    <col min="9474" max="9474" width="16.109375" style="6" customWidth="1"/>
    <col min="9475" max="9475" width="20" style="6" customWidth="1"/>
    <col min="9476" max="9476" width="12.6640625" style="6" customWidth="1"/>
    <col min="9477" max="9477" width="13.33203125" style="6" customWidth="1"/>
    <col min="9478" max="9478" width="13" style="6" customWidth="1"/>
    <col min="9479" max="9479" width="11.88671875" style="6" customWidth="1"/>
    <col min="9480" max="9480" width="15.109375" style="6" customWidth="1"/>
    <col min="9481" max="9481" width="12.6640625" style="6" customWidth="1"/>
    <col min="9482" max="9482" width="11.44140625" style="6" customWidth="1"/>
    <col min="9483" max="9483" width="13.33203125" style="6" customWidth="1"/>
    <col min="9484" max="9485" width="9.109375" style="6"/>
    <col min="9486" max="9486" width="22.44140625" style="6" customWidth="1"/>
    <col min="9487" max="9487" width="19.33203125" style="6" customWidth="1"/>
    <col min="9488" max="9724" width="9.109375" style="6"/>
    <col min="9725" max="9725" width="4.109375" style="6" customWidth="1"/>
    <col min="9726" max="9726" width="24.109375" style="6" customWidth="1"/>
    <col min="9727" max="9727" width="11" style="6" customWidth="1"/>
    <col min="9728" max="9728" width="15" style="6" customWidth="1"/>
    <col min="9729" max="9729" width="12.5546875" style="6" customWidth="1"/>
    <col min="9730" max="9730" width="16.109375" style="6" customWidth="1"/>
    <col min="9731" max="9731" width="20" style="6" customWidth="1"/>
    <col min="9732" max="9732" width="12.6640625" style="6" customWidth="1"/>
    <col min="9733" max="9733" width="13.33203125" style="6" customWidth="1"/>
    <col min="9734" max="9734" width="13" style="6" customWidth="1"/>
    <col min="9735" max="9735" width="11.88671875" style="6" customWidth="1"/>
    <col min="9736" max="9736" width="15.109375" style="6" customWidth="1"/>
    <col min="9737" max="9737" width="12.6640625" style="6" customWidth="1"/>
    <col min="9738" max="9738" width="11.44140625" style="6" customWidth="1"/>
    <col min="9739" max="9739" width="13.33203125" style="6" customWidth="1"/>
    <col min="9740" max="9741" width="9.109375" style="6"/>
    <col min="9742" max="9742" width="22.44140625" style="6" customWidth="1"/>
    <col min="9743" max="9743" width="19.33203125" style="6" customWidth="1"/>
    <col min="9744" max="9980" width="9.109375" style="6"/>
    <col min="9981" max="9981" width="4.109375" style="6" customWidth="1"/>
    <col min="9982" max="9982" width="24.109375" style="6" customWidth="1"/>
    <col min="9983" max="9983" width="11" style="6" customWidth="1"/>
    <col min="9984" max="9984" width="15" style="6" customWidth="1"/>
    <col min="9985" max="9985" width="12.5546875" style="6" customWidth="1"/>
    <col min="9986" max="9986" width="16.109375" style="6" customWidth="1"/>
    <col min="9987" max="9987" width="20" style="6" customWidth="1"/>
    <col min="9988" max="9988" width="12.6640625" style="6" customWidth="1"/>
    <col min="9989" max="9989" width="13.33203125" style="6" customWidth="1"/>
    <col min="9990" max="9990" width="13" style="6" customWidth="1"/>
    <col min="9991" max="9991" width="11.88671875" style="6" customWidth="1"/>
    <col min="9992" max="9992" width="15.109375" style="6" customWidth="1"/>
    <col min="9993" max="9993" width="12.6640625" style="6" customWidth="1"/>
    <col min="9994" max="9994" width="11.44140625" style="6" customWidth="1"/>
    <col min="9995" max="9995" width="13.33203125" style="6" customWidth="1"/>
    <col min="9996" max="9997" width="9.109375" style="6"/>
    <col min="9998" max="9998" width="22.44140625" style="6" customWidth="1"/>
    <col min="9999" max="9999" width="19.33203125" style="6" customWidth="1"/>
    <col min="10000" max="10236" width="9.109375" style="6"/>
    <col min="10237" max="10237" width="4.109375" style="6" customWidth="1"/>
    <col min="10238" max="10238" width="24.109375" style="6" customWidth="1"/>
    <col min="10239" max="10239" width="11" style="6" customWidth="1"/>
    <col min="10240" max="10240" width="15" style="6" customWidth="1"/>
    <col min="10241" max="10241" width="12.5546875" style="6" customWidth="1"/>
    <col min="10242" max="10242" width="16.109375" style="6" customWidth="1"/>
    <col min="10243" max="10243" width="20" style="6" customWidth="1"/>
    <col min="10244" max="10244" width="12.6640625" style="6" customWidth="1"/>
    <col min="10245" max="10245" width="13.33203125" style="6" customWidth="1"/>
    <col min="10246" max="10246" width="13" style="6" customWidth="1"/>
    <col min="10247" max="10247" width="11.88671875" style="6" customWidth="1"/>
    <col min="10248" max="10248" width="15.109375" style="6" customWidth="1"/>
    <col min="10249" max="10249" width="12.6640625" style="6" customWidth="1"/>
    <col min="10250" max="10250" width="11.44140625" style="6" customWidth="1"/>
    <col min="10251" max="10251" width="13.33203125" style="6" customWidth="1"/>
    <col min="10252" max="10253" width="9.109375" style="6"/>
    <col min="10254" max="10254" width="22.44140625" style="6" customWidth="1"/>
    <col min="10255" max="10255" width="19.33203125" style="6" customWidth="1"/>
    <col min="10256" max="10492" width="9.109375" style="6"/>
    <col min="10493" max="10493" width="4.109375" style="6" customWidth="1"/>
    <col min="10494" max="10494" width="24.109375" style="6" customWidth="1"/>
    <col min="10495" max="10495" width="11" style="6" customWidth="1"/>
    <col min="10496" max="10496" width="15" style="6" customWidth="1"/>
    <col min="10497" max="10497" width="12.5546875" style="6" customWidth="1"/>
    <col min="10498" max="10498" width="16.109375" style="6" customWidth="1"/>
    <col min="10499" max="10499" width="20" style="6" customWidth="1"/>
    <col min="10500" max="10500" width="12.6640625" style="6" customWidth="1"/>
    <col min="10501" max="10501" width="13.33203125" style="6" customWidth="1"/>
    <col min="10502" max="10502" width="13" style="6" customWidth="1"/>
    <col min="10503" max="10503" width="11.88671875" style="6" customWidth="1"/>
    <col min="10504" max="10504" width="15.109375" style="6" customWidth="1"/>
    <col min="10505" max="10505" width="12.6640625" style="6" customWidth="1"/>
    <col min="10506" max="10506" width="11.44140625" style="6" customWidth="1"/>
    <col min="10507" max="10507" width="13.33203125" style="6" customWidth="1"/>
    <col min="10508" max="10509" width="9.109375" style="6"/>
    <col min="10510" max="10510" width="22.44140625" style="6" customWidth="1"/>
    <col min="10511" max="10511" width="19.33203125" style="6" customWidth="1"/>
    <col min="10512" max="10748" width="9.109375" style="6"/>
    <col min="10749" max="10749" width="4.109375" style="6" customWidth="1"/>
    <col min="10750" max="10750" width="24.109375" style="6" customWidth="1"/>
    <col min="10751" max="10751" width="11" style="6" customWidth="1"/>
    <col min="10752" max="10752" width="15" style="6" customWidth="1"/>
    <col min="10753" max="10753" width="12.5546875" style="6" customWidth="1"/>
    <col min="10754" max="10754" width="16.109375" style="6" customWidth="1"/>
    <col min="10755" max="10755" width="20" style="6" customWidth="1"/>
    <col min="10756" max="10756" width="12.6640625" style="6" customWidth="1"/>
    <col min="10757" max="10757" width="13.33203125" style="6" customWidth="1"/>
    <col min="10758" max="10758" width="13" style="6" customWidth="1"/>
    <col min="10759" max="10759" width="11.88671875" style="6" customWidth="1"/>
    <col min="10760" max="10760" width="15.109375" style="6" customWidth="1"/>
    <col min="10761" max="10761" width="12.6640625" style="6" customWidth="1"/>
    <col min="10762" max="10762" width="11.44140625" style="6" customWidth="1"/>
    <col min="10763" max="10763" width="13.33203125" style="6" customWidth="1"/>
    <col min="10764" max="10765" width="9.109375" style="6"/>
    <col min="10766" max="10766" width="22.44140625" style="6" customWidth="1"/>
    <col min="10767" max="10767" width="19.33203125" style="6" customWidth="1"/>
    <col min="10768" max="11004" width="9.109375" style="6"/>
    <col min="11005" max="11005" width="4.109375" style="6" customWidth="1"/>
    <col min="11006" max="11006" width="24.109375" style="6" customWidth="1"/>
    <col min="11007" max="11007" width="11" style="6" customWidth="1"/>
    <col min="11008" max="11008" width="15" style="6" customWidth="1"/>
    <col min="11009" max="11009" width="12.5546875" style="6" customWidth="1"/>
    <col min="11010" max="11010" width="16.109375" style="6" customWidth="1"/>
    <col min="11011" max="11011" width="20" style="6" customWidth="1"/>
    <col min="11012" max="11012" width="12.6640625" style="6" customWidth="1"/>
    <col min="11013" max="11013" width="13.33203125" style="6" customWidth="1"/>
    <col min="11014" max="11014" width="13" style="6" customWidth="1"/>
    <col min="11015" max="11015" width="11.88671875" style="6" customWidth="1"/>
    <col min="11016" max="11016" width="15.109375" style="6" customWidth="1"/>
    <col min="11017" max="11017" width="12.6640625" style="6" customWidth="1"/>
    <col min="11018" max="11018" width="11.44140625" style="6" customWidth="1"/>
    <col min="11019" max="11019" width="13.33203125" style="6" customWidth="1"/>
    <col min="11020" max="11021" width="9.109375" style="6"/>
    <col min="11022" max="11022" width="22.44140625" style="6" customWidth="1"/>
    <col min="11023" max="11023" width="19.33203125" style="6" customWidth="1"/>
    <col min="11024" max="11260" width="9.109375" style="6"/>
    <col min="11261" max="11261" width="4.109375" style="6" customWidth="1"/>
    <col min="11262" max="11262" width="24.109375" style="6" customWidth="1"/>
    <col min="11263" max="11263" width="11" style="6" customWidth="1"/>
    <col min="11264" max="11264" width="15" style="6" customWidth="1"/>
    <col min="11265" max="11265" width="12.5546875" style="6" customWidth="1"/>
    <col min="11266" max="11266" width="16.109375" style="6" customWidth="1"/>
    <col min="11267" max="11267" width="20" style="6" customWidth="1"/>
    <col min="11268" max="11268" width="12.6640625" style="6" customWidth="1"/>
    <col min="11269" max="11269" width="13.33203125" style="6" customWidth="1"/>
    <col min="11270" max="11270" width="13" style="6" customWidth="1"/>
    <col min="11271" max="11271" width="11.88671875" style="6" customWidth="1"/>
    <col min="11272" max="11272" width="15.109375" style="6" customWidth="1"/>
    <col min="11273" max="11273" width="12.6640625" style="6" customWidth="1"/>
    <col min="11274" max="11274" width="11.44140625" style="6" customWidth="1"/>
    <col min="11275" max="11275" width="13.33203125" style="6" customWidth="1"/>
    <col min="11276" max="11277" width="9.109375" style="6"/>
    <col min="11278" max="11278" width="22.44140625" style="6" customWidth="1"/>
    <col min="11279" max="11279" width="19.33203125" style="6" customWidth="1"/>
    <col min="11280" max="11516" width="9.109375" style="6"/>
    <col min="11517" max="11517" width="4.109375" style="6" customWidth="1"/>
    <col min="11518" max="11518" width="24.109375" style="6" customWidth="1"/>
    <col min="11519" max="11519" width="11" style="6" customWidth="1"/>
    <col min="11520" max="11520" width="15" style="6" customWidth="1"/>
    <col min="11521" max="11521" width="12.5546875" style="6" customWidth="1"/>
    <col min="11522" max="11522" width="16.109375" style="6" customWidth="1"/>
    <col min="11523" max="11523" width="20" style="6" customWidth="1"/>
    <col min="11524" max="11524" width="12.6640625" style="6" customWidth="1"/>
    <col min="11525" max="11525" width="13.33203125" style="6" customWidth="1"/>
    <col min="11526" max="11526" width="13" style="6" customWidth="1"/>
    <col min="11527" max="11527" width="11.88671875" style="6" customWidth="1"/>
    <col min="11528" max="11528" width="15.109375" style="6" customWidth="1"/>
    <col min="11529" max="11529" width="12.6640625" style="6" customWidth="1"/>
    <col min="11530" max="11530" width="11.44140625" style="6" customWidth="1"/>
    <col min="11531" max="11531" width="13.33203125" style="6" customWidth="1"/>
    <col min="11532" max="11533" width="9.109375" style="6"/>
    <col min="11534" max="11534" width="22.44140625" style="6" customWidth="1"/>
    <col min="11535" max="11535" width="19.33203125" style="6" customWidth="1"/>
    <col min="11536" max="11772" width="9.109375" style="6"/>
    <col min="11773" max="11773" width="4.109375" style="6" customWidth="1"/>
    <col min="11774" max="11774" width="24.109375" style="6" customWidth="1"/>
    <col min="11775" max="11775" width="11" style="6" customWidth="1"/>
    <col min="11776" max="11776" width="15" style="6" customWidth="1"/>
    <col min="11777" max="11777" width="12.5546875" style="6" customWidth="1"/>
    <col min="11778" max="11778" width="16.109375" style="6" customWidth="1"/>
    <col min="11779" max="11779" width="20" style="6" customWidth="1"/>
    <col min="11780" max="11780" width="12.6640625" style="6" customWidth="1"/>
    <col min="11781" max="11781" width="13.33203125" style="6" customWidth="1"/>
    <col min="11782" max="11782" width="13" style="6" customWidth="1"/>
    <col min="11783" max="11783" width="11.88671875" style="6" customWidth="1"/>
    <col min="11784" max="11784" width="15.109375" style="6" customWidth="1"/>
    <col min="11785" max="11785" width="12.6640625" style="6" customWidth="1"/>
    <col min="11786" max="11786" width="11.44140625" style="6" customWidth="1"/>
    <col min="11787" max="11787" width="13.33203125" style="6" customWidth="1"/>
    <col min="11788" max="11789" width="9.109375" style="6"/>
    <col min="11790" max="11790" width="22.44140625" style="6" customWidth="1"/>
    <col min="11791" max="11791" width="19.33203125" style="6" customWidth="1"/>
    <col min="11792" max="12028" width="9.109375" style="6"/>
    <col min="12029" max="12029" width="4.109375" style="6" customWidth="1"/>
    <col min="12030" max="12030" width="24.109375" style="6" customWidth="1"/>
    <col min="12031" max="12031" width="11" style="6" customWidth="1"/>
    <col min="12032" max="12032" width="15" style="6" customWidth="1"/>
    <col min="12033" max="12033" width="12.5546875" style="6" customWidth="1"/>
    <col min="12034" max="12034" width="16.109375" style="6" customWidth="1"/>
    <col min="12035" max="12035" width="20" style="6" customWidth="1"/>
    <col min="12036" max="12036" width="12.6640625" style="6" customWidth="1"/>
    <col min="12037" max="12037" width="13.33203125" style="6" customWidth="1"/>
    <col min="12038" max="12038" width="13" style="6" customWidth="1"/>
    <col min="12039" max="12039" width="11.88671875" style="6" customWidth="1"/>
    <col min="12040" max="12040" width="15.109375" style="6" customWidth="1"/>
    <col min="12041" max="12041" width="12.6640625" style="6" customWidth="1"/>
    <col min="12042" max="12042" width="11.44140625" style="6" customWidth="1"/>
    <col min="12043" max="12043" width="13.33203125" style="6" customWidth="1"/>
    <col min="12044" max="12045" width="9.109375" style="6"/>
    <col min="12046" max="12046" width="22.44140625" style="6" customWidth="1"/>
    <col min="12047" max="12047" width="19.33203125" style="6" customWidth="1"/>
    <col min="12048" max="12284" width="9.109375" style="6"/>
    <col min="12285" max="12285" width="4.109375" style="6" customWidth="1"/>
    <col min="12286" max="12286" width="24.109375" style="6" customWidth="1"/>
    <col min="12287" max="12287" width="11" style="6" customWidth="1"/>
    <col min="12288" max="12288" width="15" style="6" customWidth="1"/>
    <col min="12289" max="12289" width="12.5546875" style="6" customWidth="1"/>
    <col min="12290" max="12290" width="16.109375" style="6" customWidth="1"/>
    <col min="12291" max="12291" width="20" style="6" customWidth="1"/>
    <col min="12292" max="12292" width="12.6640625" style="6" customWidth="1"/>
    <col min="12293" max="12293" width="13.33203125" style="6" customWidth="1"/>
    <col min="12294" max="12294" width="13" style="6" customWidth="1"/>
    <col min="12295" max="12295" width="11.88671875" style="6" customWidth="1"/>
    <col min="12296" max="12296" width="15.109375" style="6" customWidth="1"/>
    <col min="12297" max="12297" width="12.6640625" style="6" customWidth="1"/>
    <col min="12298" max="12298" width="11.44140625" style="6" customWidth="1"/>
    <col min="12299" max="12299" width="13.33203125" style="6" customWidth="1"/>
    <col min="12300" max="12301" width="9.109375" style="6"/>
    <col min="12302" max="12302" width="22.44140625" style="6" customWidth="1"/>
    <col min="12303" max="12303" width="19.33203125" style="6" customWidth="1"/>
    <col min="12304" max="12540" width="9.109375" style="6"/>
    <col min="12541" max="12541" width="4.109375" style="6" customWidth="1"/>
    <col min="12542" max="12542" width="24.109375" style="6" customWidth="1"/>
    <col min="12543" max="12543" width="11" style="6" customWidth="1"/>
    <col min="12544" max="12544" width="15" style="6" customWidth="1"/>
    <col min="12545" max="12545" width="12.5546875" style="6" customWidth="1"/>
    <col min="12546" max="12546" width="16.109375" style="6" customWidth="1"/>
    <col min="12547" max="12547" width="20" style="6" customWidth="1"/>
    <col min="12548" max="12548" width="12.6640625" style="6" customWidth="1"/>
    <col min="12549" max="12549" width="13.33203125" style="6" customWidth="1"/>
    <col min="12550" max="12550" width="13" style="6" customWidth="1"/>
    <col min="12551" max="12551" width="11.88671875" style="6" customWidth="1"/>
    <col min="12552" max="12552" width="15.109375" style="6" customWidth="1"/>
    <col min="12553" max="12553" width="12.6640625" style="6" customWidth="1"/>
    <col min="12554" max="12554" width="11.44140625" style="6" customWidth="1"/>
    <col min="12555" max="12555" width="13.33203125" style="6" customWidth="1"/>
    <col min="12556" max="12557" width="9.109375" style="6"/>
    <col min="12558" max="12558" width="22.44140625" style="6" customWidth="1"/>
    <col min="12559" max="12559" width="19.33203125" style="6" customWidth="1"/>
    <col min="12560" max="12796" width="9.109375" style="6"/>
    <col min="12797" max="12797" width="4.109375" style="6" customWidth="1"/>
    <col min="12798" max="12798" width="24.109375" style="6" customWidth="1"/>
    <col min="12799" max="12799" width="11" style="6" customWidth="1"/>
    <col min="12800" max="12800" width="15" style="6" customWidth="1"/>
    <col min="12801" max="12801" width="12.5546875" style="6" customWidth="1"/>
    <col min="12802" max="12802" width="16.109375" style="6" customWidth="1"/>
    <col min="12803" max="12803" width="20" style="6" customWidth="1"/>
    <col min="12804" max="12804" width="12.6640625" style="6" customWidth="1"/>
    <col min="12805" max="12805" width="13.33203125" style="6" customWidth="1"/>
    <col min="12806" max="12806" width="13" style="6" customWidth="1"/>
    <col min="12807" max="12807" width="11.88671875" style="6" customWidth="1"/>
    <col min="12808" max="12808" width="15.109375" style="6" customWidth="1"/>
    <col min="12809" max="12809" width="12.6640625" style="6" customWidth="1"/>
    <col min="12810" max="12810" width="11.44140625" style="6" customWidth="1"/>
    <col min="12811" max="12811" width="13.33203125" style="6" customWidth="1"/>
    <col min="12812" max="12813" width="9.109375" style="6"/>
    <col min="12814" max="12814" width="22.44140625" style="6" customWidth="1"/>
    <col min="12815" max="12815" width="19.33203125" style="6" customWidth="1"/>
    <col min="12816" max="13052" width="9.109375" style="6"/>
    <col min="13053" max="13053" width="4.109375" style="6" customWidth="1"/>
    <col min="13054" max="13054" width="24.109375" style="6" customWidth="1"/>
    <col min="13055" max="13055" width="11" style="6" customWidth="1"/>
    <col min="13056" max="13056" width="15" style="6" customWidth="1"/>
    <col min="13057" max="13057" width="12.5546875" style="6" customWidth="1"/>
    <col min="13058" max="13058" width="16.109375" style="6" customWidth="1"/>
    <col min="13059" max="13059" width="20" style="6" customWidth="1"/>
    <col min="13060" max="13060" width="12.6640625" style="6" customWidth="1"/>
    <col min="13061" max="13061" width="13.33203125" style="6" customWidth="1"/>
    <col min="13062" max="13062" width="13" style="6" customWidth="1"/>
    <col min="13063" max="13063" width="11.88671875" style="6" customWidth="1"/>
    <col min="13064" max="13064" width="15.109375" style="6" customWidth="1"/>
    <col min="13065" max="13065" width="12.6640625" style="6" customWidth="1"/>
    <col min="13066" max="13066" width="11.44140625" style="6" customWidth="1"/>
    <col min="13067" max="13067" width="13.33203125" style="6" customWidth="1"/>
    <col min="13068" max="13069" width="9.109375" style="6"/>
    <col min="13070" max="13070" width="22.44140625" style="6" customWidth="1"/>
    <col min="13071" max="13071" width="19.33203125" style="6" customWidth="1"/>
    <col min="13072" max="13308" width="9.109375" style="6"/>
    <col min="13309" max="13309" width="4.109375" style="6" customWidth="1"/>
    <col min="13310" max="13310" width="24.109375" style="6" customWidth="1"/>
    <col min="13311" max="13311" width="11" style="6" customWidth="1"/>
    <col min="13312" max="13312" width="15" style="6" customWidth="1"/>
    <col min="13313" max="13313" width="12.5546875" style="6" customWidth="1"/>
    <col min="13314" max="13314" width="16.109375" style="6" customWidth="1"/>
    <col min="13315" max="13315" width="20" style="6" customWidth="1"/>
    <col min="13316" max="13316" width="12.6640625" style="6" customWidth="1"/>
    <col min="13317" max="13317" width="13.33203125" style="6" customWidth="1"/>
    <col min="13318" max="13318" width="13" style="6" customWidth="1"/>
    <col min="13319" max="13319" width="11.88671875" style="6" customWidth="1"/>
    <col min="13320" max="13320" width="15.109375" style="6" customWidth="1"/>
    <col min="13321" max="13321" width="12.6640625" style="6" customWidth="1"/>
    <col min="13322" max="13322" width="11.44140625" style="6" customWidth="1"/>
    <col min="13323" max="13323" width="13.33203125" style="6" customWidth="1"/>
    <col min="13324" max="13325" width="9.109375" style="6"/>
    <col min="13326" max="13326" width="22.44140625" style="6" customWidth="1"/>
    <col min="13327" max="13327" width="19.33203125" style="6" customWidth="1"/>
    <col min="13328" max="13564" width="9.109375" style="6"/>
    <col min="13565" max="13565" width="4.109375" style="6" customWidth="1"/>
    <col min="13566" max="13566" width="24.109375" style="6" customWidth="1"/>
    <col min="13567" max="13567" width="11" style="6" customWidth="1"/>
    <col min="13568" max="13568" width="15" style="6" customWidth="1"/>
    <col min="13569" max="13569" width="12.5546875" style="6" customWidth="1"/>
    <col min="13570" max="13570" width="16.109375" style="6" customWidth="1"/>
    <col min="13571" max="13571" width="20" style="6" customWidth="1"/>
    <col min="13572" max="13572" width="12.6640625" style="6" customWidth="1"/>
    <col min="13573" max="13573" width="13.33203125" style="6" customWidth="1"/>
    <col min="13574" max="13574" width="13" style="6" customWidth="1"/>
    <col min="13575" max="13575" width="11.88671875" style="6" customWidth="1"/>
    <col min="13576" max="13576" width="15.109375" style="6" customWidth="1"/>
    <col min="13577" max="13577" width="12.6640625" style="6" customWidth="1"/>
    <col min="13578" max="13578" width="11.44140625" style="6" customWidth="1"/>
    <col min="13579" max="13579" width="13.33203125" style="6" customWidth="1"/>
    <col min="13580" max="13581" width="9.109375" style="6"/>
    <col min="13582" max="13582" width="22.44140625" style="6" customWidth="1"/>
    <col min="13583" max="13583" width="19.33203125" style="6" customWidth="1"/>
    <col min="13584" max="13820" width="9.109375" style="6"/>
    <col min="13821" max="13821" width="4.109375" style="6" customWidth="1"/>
    <col min="13822" max="13822" width="24.109375" style="6" customWidth="1"/>
    <col min="13823" max="13823" width="11" style="6" customWidth="1"/>
    <col min="13824" max="13824" width="15" style="6" customWidth="1"/>
    <col min="13825" max="13825" width="12.5546875" style="6" customWidth="1"/>
    <col min="13826" max="13826" width="16.109375" style="6" customWidth="1"/>
    <col min="13827" max="13827" width="20" style="6" customWidth="1"/>
    <col min="13828" max="13828" width="12.6640625" style="6" customWidth="1"/>
    <col min="13829" max="13829" width="13.33203125" style="6" customWidth="1"/>
    <col min="13830" max="13830" width="13" style="6" customWidth="1"/>
    <col min="13831" max="13831" width="11.88671875" style="6" customWidth="1"/>
    <col min="13832" max="13832" width="15.109375" style="6" customWidth="1"/>
    <col min="13833" max="13833" width="12.6640625" style="6" customWidth="1"/>
    <col min="13834" max="13834" width="11.44140625" style="6" customWidth="1"/>
    <col min="13835" max="13835" width="13.33203125" style="6" customWidth="1"/>
    <col min="13836" max="13837" width="9.109375" style="6"/>
    <col min="13838" max="13838" width="22.44140625" style="6" customWidth="1"/>
    <col min="13839" max="13839" width="19.33203125" style="6" customWidth="1"/>
    <col min="13840" max="14076" width="9.109375" style="6"/>
    <col min="14077" max="14077" width="4.109375" style="6" customWidth="1"/>
    <col min="14078" max="14078" width="24.109375" style="6" customWidth="1"/>
    <col min="14079" max="14079" width="11" style="6" customWidth="1"/>
    <col min="14080" max="14080" width="15" style="6" customWidth="1"/>
    <col min="14081" max="14081" width="12.5546875" style="6" customWidth="1"/>
    <col min="14082" max="14082" width="16.109375" style="6" customWidth="1"/>
    <col min="14083" max="14083" width="20" style="6" customWidth="1"/>
    <col min="14084" max="14084" width="12.6640625" style="6" customWidth="1"/>
    <col min="14085" max="14085" width="13.33203125" style="6" customWidth="1"/>
    <col min="14086" max="14086" width="13" style="6" customWidth="1"/>
    <col min="14087" max="14087" width="11.88671875" style="6" customWidth="1"/>
    <col min="14088" max="14088" width="15.109375" style="6" customWidth="1"/>
    <col min="14089" max="14089" width="12.6640625" style="6" customWidth="1"/>
    <col min="14090" max="14090" width="11.44140625" style="6" customWidth="1"/>
    <col min="14091" max="14091" width="13.33203125" style="6" customWidth="1"/>
    <col min="14092" max="14093" width="9.109375" style="6"/>
    <col min="14094" max="14094" width="22.44140625" style="6" customWidth="1"/>
    <col min="14095" max="14095" width="19.33203125" style="6" customWidth="1"/>
    <col min="14096" max="14332" width="9.109375" style="6"/>
    <col min="14333" max="14333" width="4.109375" style="6" customWidth="1"/>
    <col min="14334" max="14334" width="24.109375" style="6" customWidth="1"/>
    <col min="14335" max="14335" width="11" style="6" customWidth="1"/>
    <col min="14336" max="14336" width="15" style="6" customWidth="1"/>
    <col min="14337" max="14337" width="12.5546875" style="6" customWidth="1"/>
    <col min="14338" max="14338" width="16.109375" style="6" customWidth="1"/>
    <col min="14339" max="14339" width="20" style="6" customWidth="1"/>
    <col min="14340" max="14340" width="12.6640625" style="6" customWidth="1"/>
    <col min="14341" max="14341" width="13.33203125" style="6" customWidth="1"/>
    <col min="14342" max="14342" width="13" style="6" customWidth="1"/>
    <col min="14343" max="14343" width="11.88671875" style="6" customWidth="1"/>
    <col min="14344" max="14344" width="15.109375" style="6" customWidth="1"/>
    <col min="14345" max="14345" width="12.6640625" style="6" customWidth="1"/>
    <col min="14346" max="14346" width="11.44140625" style="6" customWidth="1"/>
    <col min="14347" max="14347" width="13.33203125" style="6" customWidth="1"/>
    <col min="14348" max="14349" width="9.109375" style="6"/>
    <col min="14350" max="14350" width="22.44140625" style="6" customWidth="1"/>
    <col min="14351" max="14351" width="19.33203125" style="6" customWidth="1"/>
    <col min="14352" max="14588" width="9.109375" style="6"/>
    <col min="14589" max="14589" width="4.109375" style="6" customWidth="1"/>
    <col min="14590" max="14590" width="24.109375" style="6" customWidth="1"/>
    <col min="14591" max="14591" width="11" style="6" customWidth="1"/>
    <col min="14592" max="14592" width="15" style="6" customWidth="1"/>
    <col min="14593" max="14593" width="12.5546875" style="6" customWidth="1"/>
    <col min="14594" max="14594" width="16.109375" style="6" customWidth="1"/>
    <col min="14595" max="14595" width="20" style="6" customWidth="1"/>
    <col min="14596" max="14596" width="12.6640625" style="6" customWidth="1"/>
    <col min="14597" max="14597" width="13.33203125" style="6" customWidth="1"/>
    <col min="14598" max="14598" width="13" style="6" customWidth="1"/>
    <col min="14599" max="14599" width="11.88671875" style="6" customWidth="1"/>
    <col min="14600" max="14600" width="15.109375" style="6" customWidth="1"/>
    <col min="14601" max="14601" width="12.6640625" style="6" customWidth="1"/>
    <col min="14602" max="14602" width="11.44140625" style="6" customWidth="1"/>
    <col min="14603" max="14603" width="13.33203125" style="6" customWidth="1"/>
    <col min="14604" max="14605" width="9.109375" style="6"/>
    <col min="14606" max="14606" width="22.44140625" style="6" customWidth="1"/>
    <col min="14607" max="14607" width="19.33203125" style="6" customWidth="1"/>
    <col min="14608" max="14844" width="9.109375" style="6"/>
    <col min="14845" max="14845" width="4.109375" style="6" customWidth="1"/>
    <col min="14846" max="14846" width="24.109375" style="6" customWidth="1"/>
    <col min="14847" max="14847" width="11" style="6" customWidth="1"/>
    <col min="14848" max="14848" width="15" style="6" customWidth="1"/>
    <col min="14849" max="14849" width="12.5546875" style="6" customWidth="1"/>
    <col min="14850" max="14850" width="16.109375" style="6" customWidth="1"/>
    <col min="14851" max="14851" width="20" style="6" customWidth="1"/>
    <col min="14852" max="14852" width="12.6640625" style="6" customWidth="1"/>
    <col min="14853" max="14853" width="13.33203125" style="6" customWidth="1"/>
    <col min="14854" max="14854" width="13" style="6" customWidth="1"/>
    <col min="14855" max="14855" width="11.88671875" style="6" customWidth="1"/>
    <col min="14856" max="14856" width="15.109375" style="6" customWidth="1"/>
    <col min="14857" max="14857" width="12.6640625" style="6" customWidth="1"/>
    <col min="14858" max="14858" width="11.44140625" style="6" customWidth="1"/>
    <col min="14859" max="14859" width="13.33203125" style="6" customWidth="1"/>
    <col min="14860" max="14861" width="9.109375" style="6"/>
    <col min="14862" max="14862" width="22.44140625" style="6" customWidth="1"/>
    <col min="14863" max="14863" width="19.33203125" style="6" customWidth="1"/>
    <col min="14864" max="15100" width="9.109375" style="6"/>
    <col min="15101" max="15101" width="4.109375" style="6" customWidth="1"/>
    <col min="15102" max="15102" width="24.109375" style="6" customWidth="1"/>
    <col min="15103" max="15103" width="11" style="6" customWidth="1"/>
    <col min="15104" max="15104" width="15" style="6" customWidth="1"/>
    <col min="15105" max="15105" width="12.5546875" style="6" customWidth="1"/>
    <col min="15106" max="15106" width="16.109375" style="6" customWidth="1"/>
    <col min="15107" max="15107" width="20" style="6" customWidth="1"/>
    <col min="15108" max="15108" width="12.6640625" style="6" customWidth="1"/>
    <col min="15109" max="15109" width="13.33203125" style="6" customWidth="1"/>
    <col min="15110" max="15110" width="13" style="6" customWidth="1"/>
    <col min="15111" max="15111" width="11.88671875" style="6" customWidth="1"/>
    <col min="15112" max="15112" width="15.109375" style="6" customWidth="1"/>
    <col min="15113" max="15113" width="12.6640625" style="6" customWidth="1"/>
    <col min="15114" max="15114" width="11.44140625" style="6" customWidth="1"/>
    <col min="15115" max="15115" width="13.33203125" style="6" customWidth="1"/>
    <col min="15116" max="15117" width="9.109375" style="6"/>
    <col min="15118" max="15118" width="22.44140625" style="6" customWidth="1"/>
    <col min="15119" max="15119" width="19.33203125" style="6" customWidth="1"/>
    <col min="15120" max="15356" width="9.109375" style="6"/>
    <col min="15357" max="15357" width="4.109375" style="6" customWidth="1"/>
    <col min="15358" max="15358" width="24.109375" style="6" customWidth="1"/>
    <col min="15359" max="15359" width="11" style="6" customWidth="1"/>
    <col min="15360" max="15360" width="15" style="6" customWidth="1"/>
    <col min="15361" max="15361" width="12.5546875" style="6" customWidth="1"/>
    <col min="15362" max="15362" width="16.109375" style="6" customWidth="1"/>
    <col min="15363" max="15363" width="20" style="6" customWidth="1"/>
    <col min="15364" max="15364" width="12.6640625" style="6" customWidth="1"/>
    <col min="15365" max="15365" width="13.33203125" style="6" customWidth="1"/>
    <col min="15366" max="15366" width="13" style="6" customWidth="1"/>
    <col min="15367" max="15367" width="11.88671875" style="6" customWidth="1"/>
    <col min="15368" max="15368" width="15.109375" style="6" customWidth="1"/>
    <col min="15369" max="15369" width="12.6640625" style="6" customWidth="1"/>
    <col min="15370" max="15370" width="11.44140625" style="6" customWidth="1"/>
    <col min="15371" max="15371" width="13.33203125" style="6" customWidth="1"/>
    <col min="15372" max="15373" width="9.109375" style="6"/>
    <col min="15374" max="15374" width="22.44140625" style="6" customWidth="1"/>
    <col min="15375" max="15375" width="19.33203125" style="6" customWidth="1"/>
    <col min="15376" max="15612" width="9.109375" style="6"/>
    <col min="15613" max="15613" width="4.109375" style="6" customWidth="1"/>
    <col min="15614" max="15614" width="24.109375" style="6" customWidth="1"/>
    <col min="15615" max="15615" width="11" style="6" customWidth="1"/>
    <col min="15616" max="15616" width="15" style="6" customWidth="1"/>
    <col min="15617" max="15617" width="12.5546875" style="6" customWidth="1"/>
    <col min="15618" max="15618" width="16.109375" style="6" customWidth="1"/>
    <col min="15619" max="15619" width="20" style="6" customWidth="1"/>
    <col min="15620" max="15620" width="12.6640625" style="6" customWidth="1"/>
    <col min="15621" max="15621" width="13.33203125" style="6" customWidth="1"/>
    <col min="15622" max="15622" width="13" style="6" customWidth="1"/>
    <col min="15623" max="15623" width="11.88671875" style="6" customWidth="1"/>
    <col min="15624" max="15624" width="15.109375" style="6" customWidth="1"/>
    <col min="15625" max="15625" width="12.6640625" style="6" customWidth="1"/>
    <col min="15626" max="15626" width="11.44140625" style="6" customWidth="1"/>
    <col min="15627" max="15627" width="13.33203125" style="6" customWidth="1"/>
    <col min="15628" max="15629" width="9.109375" style="6"/>
    <col min="15630" max="15630" width="22.44140625" style="6" customWidth="1"/>
    <col min="15631" max="15631" width="19.33203125" style="6" customWidth="1"/>
    <col min="15632" max="15868" width="9.109375" style="6"/>
    <col min="15869" max="15869" width="4.109375" style="6" customWidth="1"/>
    <col min="15870" max="15870" width="24.109375" style="6" customWidth="1"/>
    <col min="15871" max="15871" width="11" style="6" customWidth="1"/>
    <col min="15872" max="15872" width="15" style="6" customWidth="1"/>
    <col min="15873" max="15873" width="12.5546875" style="6" customWidth="1"/>
    <col min="15874" max="15874" width="16.109375" style="6" customWidth="1"/>
    <col min="15875" max="15875" width="20" style="6" customWidth="1"/>
    <col min="15876" max="15876" width="12.6640625" style="6" customWidth="1"/>
    <col min="15877" max="15877" width="13.33203125" style="6" customWidth="1"/>
    <col min="15878" max="15878" width="13" style="6" customWidth="1"/>
    <col min="15879" max="15879" width="11.88671875" style="6" customWidth="1"/>
    <col min="15880" max="15880" width="15.109375" style="6" customWidth="1"/>
    <col min="15881" max="15881" width="12.6640625" style="6" customWidth="1"/>
    <col min="15882" max="15882" width="11.44140625" style="6" customWidth="1"/>
    <col min="15883" max="15883" width="13.33203125" style="6" customWidth="1"/>
    <col min="15884" max="15885" width="9.109375" style="6"/>
    <col min="15886" max="15886" width="22.44140625" style="6" customWidth="1"/>
    <col min="15887" max="15887" width="19.33203125" style="6" customWidth="1"/>
    <col min="15888" max="16124" width="9.109375" style="6"/>
    <col min="16125" max="16125" width="4.109375" style="6" customWidth="1"/>
    <col min="16126" max="16126" width="24.109375" style="6" customWidth="1"/>
    <col min="16127" max="16127" width="11" style="6" customWidth="1"/>
    <col min="16128" max="16128" width="15" style="6" customWidth="1"/>
    <col min="16129" max="16129" width="12.5546875" style="6" customWidth="1"/>
    <col min="16130" max="16130" width="16.109375" style="6" customWidth="1"/>
    <col min="16131" max="16131" width="20" style="6" customWidth="1"/>
    <col min="16132" max="16132" width="12.6640625" style="6" customWidth="1"/>
    <col min="16133" max="16133" width="13.33203125" style="6" customWidth="1"/>
    <col min="16134" max="16134" width="13" style="6" customWidth="1"/>
    <col min="16135" max="16135" width="11.88671875" style="6" customWidth="1"/>
    <col min="16136" max="16136" width="15.109375" style="6" customWidth="1"/>
    <col min="16137" max="16137" width="12.6640625" style="6" customWidth="1"/>
    <col min="16138" max="16138" width="11.44140625" style="6" customWidth="1"/>
    <col min="16139" max="16139" width="13.33203125" style="6" customWidth="1"/>
    <col min="16140" max="16141" width="9.109375" style="6"/>
    <col min="16142" max="16142" width="22.44140625" style="6" customWidth="1"/>
    <col min="16143" max="16143" width="19.33203125" style="6" customWidth="1"/>
    <col min="16144" max="16384" width="9.109375" style="6"/>
  </cols>
  <sheetData>
    <row r="1" spans="1:24" ht="29.25" customHeight="1" x14ac:dyDescent="0.25">
      <c r="A1" s="325" t="str">
        <f>"BẢNG TÍNH THUẾ TNCN THÁNG "&amp;BCC!O4&amp;"/"&amp;BCC!O5</f>
        <v>BẢNG TÍNH THUẾ TNCN THÁNG 10/2026</v>
      </c>
      <c r="B1" s="325"/>
      <c r="C1" s="325"/>
      <c r="D1" s="325"/>
      <c r="E1" s="325"/>
      <c r="F1" s="325"/>
      <c r="G1" s="325"/>
      <c r="H1" s="325"/>
      <c r="I1" s="325"/>
      <c r="J1" s="325"/>
      <c r="K1" s="325"/>
      <c r="L1" s="325"/>
      <c r="M1" s="325"/>
      <c r="N1" s="325"/>
      <c r="O1" s="325"/>
      <c r="P1" s="325"/>
      <c r="Q1" s="325"/>
      <c r="R1" s="325"/>
      <c r="S1" s="325"/>
      <c r="T1" s="325"/>
    </row>
    <row r="2" spans="1:24" s="143" customFormat="1" ht="27" customHeight="1" x14ac:dyDescent="0.25">
      <c r="A2" s="294" t="s">
        <v>1</v>
      </c>
      <c r="B2" s="294" t="s">
        <v>24</v>
      </c>
      <c r="C2" s="294" t="s">
        <v>131</v>
      </c>
      <c r="D2" s="326" t="s">
        <v>132</v>
      </c>
      <c r="E2" s="326" t="s">
        <v>133</v>
      </c>
      <c r="F2" s="326" t="s">
        <v>134</v>
      </c>
      <c r="G2" s="326" t="s">
        <v>135</v>
      </c>
      <c r="H2" s="326" t="s">
        <v>136</v>
      </c>
      <c r="I2" s="326" t="s">
        <v>137</v>
      </c>
      <c r="J2" s="326" t="s">
        <v>138</v>
      </c>
      <c r="K2" s="295" t="s">
        <v>139</v>
      </c>
      <c r="L2" s="295"/>
      <c r="M2" s="295"/>
      <c r="N2" s="322" t="s">
        <v>140</v>
      </c>
      <c r="O2" s="322"/>
      <c r="P2" s="322"/>
      <c r="Q2" s="322" t="s">
        <v>141</v>
      </c>
      <c r="R2" s="322" t="s">
        <v>142</v>
      </c>
      <c r="S2" s="295" t="s">
        <v>143</v>
      </c>
      <c r="T2" s="322" t="s">
        <v>144</v>
      </c>
      <c r="U2" s="323" t="s">
        <v>145</v>
      </c>
      <c r="W2" s="144" t="s">
        <v>146</v>
      </c>
    </row>
    <row r="3" spans="1:24" s="143" customFormat="1" ht="26.25" customHeight="1" x14ac:dyDescent="0.25">
      <c r="A3" s="294"/>
      <c r="B3" s="294"/>
      <c r="C3" s="294"/>
      <c r="D3" s="294"/>
      <c r="E3" s="294"/>
      <c r="F3" s="294"/>
      <c r="G3" s="294"/>
      <c r="H3" s="294"/>
      <c r="I3" s="294"/>
      <c r="J3" s="294"/>
      <c r="K3" s="3" t="s">
        <v>147</v>
      </c>
      <c r="L3" s="3" t="s">
        <v>148</v>
      </c>
      <c r="M3" s="145" t="s">
        <v>149</v>
      </c>
      <c r="N3" s="3" t="s">
        <v>150</v>
      </c>
      <c r="O3" s="3" t="s">
        <v>151</v>
      </c>
      <c r="P3" s="3" t="s">
        <v>152</v>
      </c>
      <c r="Q3" s="322"/>
      <c r="R3" s="322"/>
      <c r="S3" s="322"/>
      <c r="T3" s="322"/>
      <c r="U3" s="324"/>
      <c r="W3" s="146" t="s">
        <v>153</v>
      </c>
      <c r="X3" s="147">
        <v>15500000</v>
      </c>
    </row>
    <row r="4" spans="1:24" s="143" customFormat="1" ht="24.75" customHeight="1" x14ac:dyDescent="0.25">
      <c r="A4" s="148" t="s">
        <v>154</v>
      </c>
      <c r="B4" s="149"/>
      <c r="C4" s="150"/>
      <c r="D4" s="150"/>
      <c r="E4" s="150"/>
      <c r="F4" s="151"/>
      <c r="G4" s="152"/>
      <c r="H4" s="152"/>
      <c r="I4" s="150"/>
      <c r="J4" s="152"/>
      <c r="K4" s="150"/>
      <c r="L4" s="27"/>
      <c r="M4" s="150"/>
      <c r="O4" s="150"/>
      <c r="P4" s="150"/>
      <c r="Q4" s="150"/>
      <c r="R4" s="153"/>
      <c r="S4" s="27"/>
      <c r="T4" s="154"/>
      <c r="W4" s="146" t="s">
        <v>155</v>
      </c>
      <c r="X4" s="147">
        <v>6200000</v>
      </c>
    </row>
    <row r="5" spans="1:24" ht="19.5" customHeight="1" x14ac:dyDescent="0.25">
      <c r="A5" s="82">
        <f>IF('Mức lương'!A8="","",'Mức lương'!A8)</f>
        <v>1</v>
      </c>
      <c r="B5" s="44" t="str">
        <f>IF('Mức lương'!B8="","",'Mức lương'!B8)</f>
        <v>NGUYỄN KIM QUYẾT</v>
      </c>
      <c r="C5" s="29"/>
      <c r="D5" s="151">
        <f>IF($H5="","",INDEX('Bảng lương'!$D:$D,$U5)*INDEX('Bảng lương'!$AK:$AK,$U5))</f>
        <v>6000000</v>
      </c>
      <c r="E5" s="151">
        <f>IF($H5="","",(INDEX('Bảng lương'!$E:$E,$U5)+INDEX('Bảng lương'!$F:$F,$U5)+INDEX('Bảng lương'!$J:$J,$U5))*INDEX('Bảng lương'!$AK:$AK,$U5)+INDEX('Bảng lương'!$H:$H,$U5)+INDEX('Bảng lương'!$I:$I,$U5))</f>
        <v>6000000</v>
      </c>
      <c r="F5" s="151">
        <f>IF($H5="","",INDEX('Bảng lương'!$G:$G,$U5))</f>
        <v>0</v>
      </c>
      <c r="G5" s="151"/>
      <c r="H5" s="27">
        <f>IF($U5="","",INDEX('Bảng lương'!$M:$M,$U5))</f>
        <v>12000000</v>
      </c>
      <c r="I5" s="27" t="e">
        <f>IF($H5="","",SUM(N5:P5))</f>
        <v>#REF!</v>
      </c>
      <c r="J5" s="27" t="e">
        <f t="shared" ref="J5:J7" si="0">IF($H5="","",H5-I5)</f>
        <v>#REF!</v>
      </c>
      <c r="K5" s="27">
        <f t="shared" ref="K5:K7" si="1">IF($H5="","",$X$3)</f>
        <v>15500000</v>
      </c>
      <c r="L5" s="27">
        <f>IF($H5="","",IFERROR(INDEX('Người phụ thuộc'!$C$2:$C$62,MATCH($B5,'Người phụ thuộc'!$B$2:$B$62,0)),0))</f>
        <v>0</v>
      </c>
      <c r="M5" s="27">
        <f>IF($H5="","",INDEX('Bảng lương'!$V:$V,$U5))</f>
        <v>630000</v>
      </c>
      <c r="N5" s="27" t="e">
        <f>IF($H5="","",INDEX('Bảng lương'!$AI:$AI,$U5))</f>
        <v>#REF!</v>
      </c>
      <c r="O5" s="27" t="e">
        <f>IF($H5="","",MIN(INDEX('Bảng lương'!$J:$J,$U5)*INDEX('Bảng lương'!$AK:$AK,$U5),#REF!))</f>
        <v>#REF!</v>
      </c>
      <c r="P5" s="27">
        <f>IF($H5="","",MIN(INDEX('Bảng lương'!$F:$F,$U5)*INDEX('Bảng lương'!$AK:$AK,$U5),$X$5))</f>
        <v>1000000</v>
      </c>
      <c r="Q5" s="27" t="e">
        <f t="shared" ref="Q5:Q7" si="2">IF($H5="","",J5-K5-L5-M5)</f>
        <v>#REF!</v>
      </c>
      <c r="R5" s="155" t="e">
        <f t="shared" ref="R5:R7" si="3">IF(Q5="","",ROUND(MAX(0,IF(Q5&lt;=10000000,5%*Q5,IF(Q5&lt;=30000000,10%*(Q5-10000000)+500000,IF(Q5&lt;=60000000,20%*(Q5-30000000)+2500000,IF(Q5&lt;=100000000,30%*(Q5-60000000)+8500000,35%*(Q5-100000000)+20500000))))),0))</f>
        <v>#REF!</v>
      </c>
      <c r="S5" s="27"/>
      <c r="T5" s="27" t="e">
        <f>IF($H5="","",INDEX('Bảng lương'!$AH:$AH,$U5))</f>
        <v>#REF!</v>
      </c>
      <c r="U5" s="156">
        <f>IF(B5="","",IFERROR(MATCH($B5,'Bảng lương'!$B:$B,0),""))</f>
        <v>10</v>
      </c>
      <c r="W5" s="146" t="s">
        <v>156</v>
      </c>
      <c r="X5" s="147">
        <v>1200000</v>
      </c>
    </row>
    <row r="6" spans="1:24" ht="20.25" customHeight="1" x14ac:dyDescent="0.25">
      <c r="A6" s="157" t="str">
        <f>IF('Mức lương'!A9="","",'Mức lương'!A9)</f>
        <v>I</v>
      </c>
      <c r="B6" s="148" t="str">
        <f>IF('Mức lương'!B9="","",'Mức lương'!B9)</f>
        <v>BỘ PHẬN LÁI XE</v>
      </c>
      <c r="C6" s="29"/>
      <c r="D6" s="151" t="str">
        <f>IF($H6="","",INDEX('Bảng lương'!$D:$D,$U6)*INDEX('Bảng lương'!$AK:$AK,$U6))</f>
        <v/>
      </c>
      <c r="E6" s="151" t="str">
        <f>IF($H6="","",(INDEX('Bảng lương'!$E:$E,$U6)+INDEX('Bảng lương'!$F:$F,$U6)+INDEX('Bảng lương'!$J:$J,$U6))*INDEX('Bảng lương'!$AK:$AK,$U6)+INDEX('Bảng lương'!$H:$H,$U6)+INDEX('Bảng lương'!$I:$I,$U6))</f>
        <v/>
      </c>
      <c r="F6" s="151" t="str">
        <f>IF($H6="","",INDEX('Bảng lương'!$G:$G,$U6))</f>
        <v/>
      </c>
      <c r="G6" s="151"/>
      <c r="H6" s="27" t="str">
        <f>IF($U6="","",INDEX('Bảng lương'!$M:$M,$U6))</f>
        <v/>
      </c>
      <c r="I6" s="27" t="str">
        <f t="shared" ref="I6:I7" si="4">IF($H6="","",SUM(N6:P6))</f>
        <v/>
      </c>
      <c r="J6" s="27" t="str">
        <f t="shared" si="0"/>
        <v/>
      </c>
      <c r="K6" s="27" t="str">
        <f t="shared" si="1"/>
        <v/>
      </c>
      <c r="L6" s="27" t="str">
        <f>IF($H6="","",IFERROR(INDEX('Người phụ thuộc'!$C$2:$C$62,MATCH($B6,'Người phụ thuộc'!$B$2:$B$62,0)),0))</f>
        <v/>
      </c>
      <c r="M6" s="27" t="str">
        <f>IF($H6="","",INDEX('Bảng lương'!$V:$V,$U6))</f>
        <v/>
      </c>
      <c r="N6" s="27" t="str">
        <f>IF($H6="","",INDEX('Bảng lương'!$AI:$AI,$U6))</f>
        <v/>
      </c>
      <c r="O6" s="27" t="str">
        <f>IF($H6="","",MIN(INDEX('Bảng lương'!$J:$J,$U6)*INDEX('Bảng lương'!$AK:$AK,$U6),#REF!))</f>
        <v/>
      </c>
      <c r="P6" s="27" t="str">
        <f>IF($H6="","",MIN(INDEX('Bảng lương'!$F:$F,$U6)*INDEX('Bảng lương'!$AK:$AK,$U6),$X$5))</f>
        <v/>
      </c>
      <c r="Q6" s="27" t="str">
        <f t="shared" si="2"/>
        <v/>
      </c>
      <c r="R6" s="155" t="str">
        <f t="shared" si="3"/>
        <v/>
      </c>
      <c r="S6" s="27"/>
      <c r="T6" s="27" t="str">
        <f>IF($H6="","",INDEX('Bảng lương'!$AH:$AH,$U6))</f>
        <v/>
      </c>
      <c r="U6" s="156">
        <f>IF(B6="","",IFERROR(MATCH($B6,'Bảng lương'!$B:$B,0),""))</f>
        <v>11</v>
      </c>
    </row>
    <row r="7" spans="1:24" ht="20.25" customHeight="1" x14ac:dyDescent="0.25">
      <c r="A7" s="82">
        <f>IF('Mức lương'!A10="","",'Mức lương'!A10)</f>
        <v>2</v>
      </c>
      <c r="B7" s="44" t="str">
        <f>IF('Mức lương'!B10="","",'Mức lương'!B10)</f>
        <v>NGUYỄN VĂN LỢI</v>
      </c>
      <c r="C7" s="29"/>
      <c r="D7" s="151">
        <f>IF($H7="","",INDEX('Bảng lương'!$D:$D,$U7)*INDEX('Bảng lương'!$AK:$AK,$U7))</f>
        <v>3596153.846153846</v>
      </c>
      <c r="E7" s="151">
        <f>IF($H7="","",(INDEX('Bảng lương'!$E:$E,$U7)+INDEX('Bảng lương'!$F:$F,$U7)+INDEX('Bảng lương'!$J:$J,$U7))*INDEX('Bảng lương'!$AK:$AK,$U7)+INDEX('Bảng lương'!$H:$H,$U7)+INDEX('Bảng lương'!$I:$I,$U7))</f>
        <v>12833165.707692308</v>
      </c>
      <c r="F7" s="151">
        <f>IF($H7="","",INDEX('Bảng lương'!$G:$G,$U7))</f>
        <v>10000000</v>
      </c>
      <c r="G7" s="151"/>
      <c r="H7" s="27">
        <f>IF($U7="","",INDEX('Bảng lương'!$M:$M,$U7))</f>
        <v>16429320</v>
      </c>
      <c r="I7" s="27" t="e">
        <f t="shared" si="4"/>
        <v>#REF!</v>
      </c>
      <c r="J7" s="27" t="e">
        <f t="shared" si="0"/>
        <v>#REF!</v>
      </c>
      <c r="K7" s="27">
        <f t="shared" si="1"/>
        <v>15500000</v>
      </c>
      <c r="L7" s="27">
        <f>IF($H7="","",IFERROR(INDEX('Người phụ thuộc'!$C$2:$C$62,MATCH($B7,'Người phụ thuộc'!$B$2:$B$62,0)),0))</f>
        <v>0</v>
      </c>
      <c r="M7" s="27">
        <f>IF($H7="","",INDEX('Bảng lương'!$V:$V,$U7))</f>
        <v>577500</v>
      </c>
      <c r="N7" s="27" t="e">
        <f>IF($H7="","",INDEX('Bảng lương'!$AI:$AI,$U7))</f>
        <v>#REF!</v>
      </c>
      <c r="O7" s="27" t="e">
        <f>IF($H7="","",MIN(INDEX('Bảng lương'!$J:$J,$U7)*INDEX('Bảng lương'!$AK:$AK,$U7),#REF!))</f>
        <v>#REF!</v>
      </c>
      <c r="P7" s="27">
        <f>IF($H7="","",MIN(INDEX('Bảng lương'!$F:$F,$U7)*INDEX('Bảng lương'!$AK:$AK,$U7),$X$5))</f>
        <v>653846.15384615387</v>
      </c>
      <c r="Q7" s="27" t="e">
        <f t="shared" si="2"/>
        <v>#REF!</v>
      </c>
      <c r="R7" s="155" t="e">
        <f t="shared" si="3"/>
        <v>#REF!</v>
      </c>
      <c r="S7" s="27"/>
      <c r="T7" s="27" t="e">
        <f>IF($H7="","",INDEX('Bảng lương'!$AH:$AH,$U7))</f>
        <v>#REF!</v>
      </c>
      <c r="U7" s="156">
        <f>IF(B7="","",IFERROR(MATCH($B7,'Bảng lương'!$B:$B,0),""))</f>
        <v>12</v>
      </c>
    </row>
    <row r="8" spans="1:24" ht="21" customHeight="1" x14ac:dyDescent="0.25">
      <c r="A8" s="158"/>
      <c r="B8" s="159" t="s">
        <v>121</v>
      </c>
      <c r="C8" s="159"/>
      <c r="D8" s="159">
        <f t="shared" ref="D8:R8" si="5">SUM(D5:D7)</f>
        <v>9596153.846153846</v>
      </c>
      <c r="E8" s="159">
        <f t="shared" si="5"/>
        <v>18833165.70769231</v>
      </c>
      <c r="F8" s="159">
        <f t="shared" si="5"/>
        <v>10000000</v>
      </c>
      <c r="G8" s="159">
        <f t="shared" si="5"/>
        <v>0</v>
      </c>
      <c r="H8" s="159">
        <f t="shared" si="5"/>
        <v>28429320</v>
      </c>
      <c r="I8" s="159" t="e">
        <f t="shared" si="5"/>
        <v>#REF!</v>
      </c>
      <c r="J8" s="159" t="e">
        <f t="shared" si="5"/>
        <v>#REF!</v>
      </c>
      <c r="K8" s="159">
        <f t="shared" si="5"/>
        <v>31000000</v>
      </c>
      <c r="L8" s="159">
        <f t="shared" si="5"/>
        <v>0</v>
      </c>
      <c r="M8" s="159">
        <f t="shared" si="5"/>
        <v>1207500</v>
      </c>
      <c r="N8" s="159" t="e">
        <f t="shared" si="5"/>
        <v>#REF!</v>
      </c>
      <c r="O8" s="159" t="e">
        <f t="shared" si="5"/>
        <v>#REF!</v>
      </c>
      <c r="P8" s="159">
        <f t="shared" si="5"/>
        <v>1653846.153846154</v>
      </c>
      <c r="Q8" s="159" t="e">
        <f t="shared" si="5"/>
        <v>#REF!</v>
      </c>
      <c r="R8" s="159" t="e">
        <f t="shared" si="5"/>
        <v>#REF!</v>
      </c>
      <c r="S8" s="159"/>
      <c r="T8" s="159" t="e">
        <f>SUM(T5:T7)</f>
        <v>#REF!</v>
      </c>
    </row>
    <row r="10" spans="1:24" ht="12.75" customHeight="1" x14ac:dyDescent="0.25">
      <c r="J10" s="7"/>
    </row>
    <row r="11" spans="1:24" s="117" customFormat="1" ht="15" customHeight="1" x14ac:dyDescent="0.3">
      <c r="A11" s="136"/>
      <c r="B11" s="137" t="s">
        <v>127</v>
      </c>
      <c r="C11" s="137"/>
      <c r="D11" s="136"/>
      <c r="E11" s="138" t="s">
        <v>128</v>
      </c>
      <c r="F11" s="138"/>
      <c r="H11" s="139"/>
      <c r="I11" s="139" t="s">
        <v>129</v>
      </c>
      <c r="M11" s="139" t="s">
        <v>130</v>
      </c>
      <c r="N11" s="118"/>
      <c r="O11" s="139"/>
      <c r="P11" s="139"/>
      <c r="U11" s="118"/>
    </row>
    <row r="13" spans="1:24" ht="12.75" customHeight="1" x14ac:dyDescent="0.25">
      <c r="I13" s="7"/>
      <c r="J13" s="7"/>
      <c r="S13" s="6"/>
      <c r="T13" s="6"/>
    </row>
    <row r="14" spans="1:24" ht="12.75" customHeight="1" x14ac:dyDescent="0.25">
      <c r="I14" s="7"/>
      <c r="J14" s="7"/>
      <c r="S14" s="6"/>
      <c r="T14" s="6"/>
    </row>
    <row r="15" spans="1:24" ht="12.75" customHeight="1" x14ac:dyDescent="0.25">
      <c r="I15" s="7"/>
      <c r="J15" s="7"/>
      <c r="S15" s="6"/>
      <c r="T15" s="6"/>
    </row>
    <row r="16" spans="1:24" ht="12.75" customHeight="1" x14ac:dyDescent="0.25">
      <c r="I16" s="7"/>
      <c r="J16" s="7"/>
      <c r="S16" s="6"/>
      <c r="T16" s="6"/>
    </row>
    <row r="17" spans="9:20" ht="12.75" customHeight="1" x14ac:dyDescent="0.25">
      <c r="I17" s="7"/>
      <c r="J17" s="7"/>
      <c r="S17" s="6"/>
      <c r="T17" s="6"/>
    </row>
    <row r="18" spans="9:20" ht="12.75" customHeight="1" x14ac:dyDescent="0.25">
      <c r="I18" s="7"/>
      <c r="J18" s="7"/>
      <c r="S18" s="6"/>
      <c r="T18" s="6"/>
    </row>
    <row r="19" spans="9:20" ht="12.75" customHeight="1" x14ac:dyDescent="0.25">
      <c r="I19" s="7"/>
      <c r="J19" s="7"/>
      <c r="S19" s="6"/>
      <c r="T19" s="6"/>
    </row>
    <row r="20" spans="9:20" ht="12.75" customHeight="1" x14ac:dyDescent="0.25">
      <c r="I20" s="7"/>
      <c r="J20" s="7"/>
      <c r="S20" s="6"/>
      <c r="T20" s="6"/>
    </row>
    <row r="21" spans="9:20" ht="12.75" customHeight="1" x14ac:dyDescent="0.25">
      <c r="I21" s="7"/>
      <c r="J21" s="7"/>
      <c r="S21" s="6"/>
      <c r="T21" s="6"/>
    </row>
    <row r="22" spans="9:20" ht="12.75" customHeight="1" x14ac:dyDescent="0.25">
      <c r="I22" s="7"/>
      <c r="J22" s="7"/>
      <c r="S22" s="6"/>
      <c r="T22" s="6"/>
    </row>
    <row r="23" spans="9:20" ht="12.75" customHeight="1" x14ac:dyDescent="0.25">
      <c r="I23" s="7"/>
      <c r="J23" s="7"/>
      <c r="S23" s="6"/>
      <c r="T23" s="6"/>
    </row>
    <row r="24" spans="9:20" ht="12.75" customHeight="1" x14ac:dyDescent="0.25">
      <c r="I24" s="7"/>
      <c r="J24" s="7"/>
      <c r="S24" s="6"/>
      <c r="T24" s="6"/>
    </row>
    <row r="25" spans="9:20" ht="12.75" customHeight="1" x14ac:dyDescent="0.25">
      <c r="I25" s="7"/>
      <c r="J25" s="7"/>
      <c r="S25" s="6"/>
      <c r="T25" s="6"/>
    </row>
    <row r="26" spans="9:20" ht="12.75" customHeight="1" x14ac:dyDescent="0.25">
      <c r="I26" s="7"/>
      <c r="J26" s="7"/>
      <c r="S26" s="6"/>
      <c r="T26" s="6"/>
    </row>
    <row r="27" spans="9:20" ht="12.75" customHeight="1" x14ac:dyDescent="0.25">
      <c r="I27" s="7"/>
      <c r="J27" s="7"/>
      <c r="S27" s="6"/>
      <c r="T27" s="6"/>
    </row>
    <row r="28" spans="9:20" ht="12.75" customHeight="1" x14ac:dyDescent="0.25">
      <c r="I28" s="7"/>
      <c r="J28" s="7"/>
      <c r="S28" s="6"/>
      <c r="T28" s="6"/>
    </row>
    <row r="29" spans="9:20" ht="12.75" customHeight="1" x14ac:dyDescent="0.25">
      <c r="I29" s="7"/>
      <c r="J29" s="7"/>
      <c r="S29" s="6"/>
      <c r="T29" s="6"/>
    </row>
    <row r="30" spans="9:20" ht="12.75" customHeight="1" x14ac:dyDescent="0.25">
      <c r="J30" s="7"/>
      <c r="T30" s="6"/>
    </row>
  </sheetData>
  <autoFilter ref="A3:AS8" xr:uid="{00000000-0009-0000-0000-000005000000}"/>
  <mergeCells count="18">
    <mergeCell ref="N2:P2"/>
    <mergeCell ref="Q2:Q3"/>
    <mergeCell ref="R2:R3"/>
    <mergeCell ref="S2:S3"/>
    <mergeCell ref="T2:T3"/>
    <mergeCell ref="U2:U3"/>
    <mergeCell ref="A1:T1"/>
    <mergeCell ref="A2:A3"/>
    <mergeCell ref="B2:B3"/>
    <mergeCell ref="C2:C3"/>
    <mergeCell ref="D2:D3"/>
    <mergeCell ref="E2:E3"/>
    <mergeCell ref="F2:F3"/>
    <mergeCell ref="G2:G3"/>
    <mergeCell ref="H2:H3"/>
    <mergeCell ref="I2:I3"/>
    <mergeCell ref="J2:J3"/>
    <mergeCell ref="K2:M2"/>
  </mergeCells>
  <conditionalFormatting sqref="B11">
    <cfRule type="duplicateValues" dxfId="4" priority="2"/>
  </conditionalFormatting>
  <conditionalFormatting sqref="B12 B2 B4:B10 B31:B1048576">
    <cfRule type="duplicateValues" dxfId="3" priority="3"/>
  </conditionalFormatting>
  <pageMargins left="0.7" right="0.7" top="0.75" bottom="0.75" header="0.511811023622047" footer="0.511811023622047"/>
  <pageSetup paperSize="9" scale="43" orientation="landscape"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IW20"/>
  <sheetViews>
    <sheetView topLeftCell="A4" zoomScaleNormal="100" workbookViewId="0">
      <pane xSplit="1" ySplit="3" topLeftCell="B7" activePane="bottomRight" state="frozen"/>
      <selection activeCell="A4" sqref="A4"/>
      <selection pane="topRight" activeCell="B4" sqref="B4"/>
      <selection pane="bottomLeft" activeCell="A7" sqref="A7"/>
      <selection pane="bottomRight" activeCell="B15" sqref="B15:D15"/>
    </sheetView>
  </sheetViews>
  <sheetFormatPr defaultColWidth="9" defaultRowHeight="12" x14ac:dyDescent="0.3"/>
  <cols>
    <col min="1" max="1" width="3.88671875" style="160" customWidth="1"/>
    <col min="2" max="2" width="21.109375" style="161" customWidth="1"/>
    <col min="3" max="3" width="20.33203125" style="162" customWidth="1"/>
    <col min="4" max="4" width="14.33203125" style="163" customWidth="1"/>
    <col min="5" max="5" width="13.88671875" style="163" customWidth="1"/>
    <col min="6" max="6" width="13.33203125" style="163" customWidth="1"/>
    <col min="7" max="7" width="11.33203125" style="163" customWidth="1"/>
    <col min="8" max="8" width="14.5546875" style="163" customWidth="1"/>
    <col min="9" max="9" width="9.5546875" style="163" customWidth="1"/>
    <col min="10" max="10" width="11.6640625" style="163" customWidth="1"/>
    <col min="11" max="12" width="6.88671875" style="164" customWidth="1"/>
    <col min="13" max="13" width="12.44140625" style="165" customWidth="1"/>
    <col min="14" max="15" width="13" style="163" customWidth="1"/>
    <col min="16" max="16" width="13" style="165" customWidth="1"/>
    <col min="17" max="19" width="13" style="163" customWidth="1"/>
    <col min="20" max="20" width="13" style="165" customWidth="1"/>
    <col min="21" max="22" width="13" style="163" customWidth="1"/>
    <col min="23" max="23" width="14.33203125" style="163" customWidth="1"/>
    <col min="24" max="24" width="11.44140625" style="163" customWidth="1"/>
    <col min="25" max="25" width="9.5546875" style="163" customWidth="1"/>
    <col min="26" max="26" width="12.88671875" style="163" customWidth="1"/>
    <col min="27" max="27" width="12.88671875" style="166" customWidth="1"/>
    <col min="28" max="34" width="12.88671875" style="161" customWidth="1"/>
    <col min="35" max="35" width="13" style="167" customWidth="1"/>
    <col min="36" max="36" width="24.6640625" style="161" customWidth="1"/>
    <col min="37" max="37" width="16" style="161" customWidth="1"/>
    <col min="38" max="38" width="12.109375" style="161" customWidth="1"/>
    <col min="39" max="258" width="9" style="161"/>
    <col min="259" max="259" width="6.109375" style="161" customWidth="1"/>
    <col min="260" max="260" width="13.88671875" style="161" customWidth="1"/>
    <col min="261" max="261" width="6.33203125" style="161" customWidth="1"/>
    <col min="262" max="262" width="9.88671875" style="161" customWidth="1"/>
    <col min="263" max="263" width="9.109375" style="161" customWidth="1"/>
    <col min="264" max="264" width="9.33203125" style="161" customWidth="1"/>
    <col min="265" max="265" width="10.109375" style="161" customWidth="1"/>
    <col min="266" max="267" width="9.5546875" style="161" customWidth="1"/>
    <col min="268" max="268" width="6.5546875" style="161" customWidth="1"/>
    <col min="269" max="269" width="9.88671875" style="161" customWidth="1"/>
    <col min="270" max="270" width="9.44140625" style="161" customWidth="1"/>
    <col min="271" max="274" width="7.88671875" style="161" customWidth="1"/>
    <col min="275" max="275" width="9.5546875" style="161" customWidth="1"/>
    <col min="276" max="279" width="8.5546875" style="161" customWidth="1"/>
    <col min="280" max="280" width="8" style="161" customWidth="1"/>
    <col min="281" max="281" width="7.88671875" style="161" customWidth="1"/>
    <col min="282" max="282" width="12.109375" style="161" customWidth="1"/>
    <col min="283" max="283" width="9.33203125" style="161" customWidth="1"/>
    <col min="284" max="284" width="10" style="161" customWidth="1"/>
    <col min="285" max="514" width="9" style="161"/>
    <col min="515" max="515" width="6.109375" style="161" customWidth="1"/>
    <col min="516" max="516" width="13.88671875" style="161" customWidth="1"/>
    <col min="517" max="517" width="6.33203125" style="161" customWidth="1"/>
    <col min="518" max="518" width="9.88671875" style="161" customWidth="1"/>
    <col min="519" max="519" width="9.109375" style="161" customWidth="1"/>
    <col min="520" max="520" width="9.33203125" style="161" customWidth="1"/>
    <col min="521" max="521" width="10.109375" style="161" customWidth="1"/>
    <col min="522" max="523" width="9.5546875" style="161" customWidth="1"/>
    <col min="524" max="524" width="6.5546875" style="161" customWidth="1"/>
    <col min="525" max="525" width="9.88671875" style="161" customWidth="1"/>
    <col min="526" max="526" width="9.44140625" style="161" customWidth="1"/>
    <col min="527" max="530" width="7.88671875" style="161" customWidth="1"/>
    <col min="531" max="531" width="9.5546875" style="161" customWidth="1"/>
    <col min="532" max="535" width="8.5546875" style="161" customWidth="1"/>
    <col min="536" max="536" width="8" style="161" customWidth="1"/>
    <col min="537" max="537" width="7.88671875" style="161" customWidth="1"/>
    <col min="538" max="538" width="12.109375" style="161" customWidth="1"/>
    <col min="539" max="539" width="9.33203125" style="161" customWidth="1"/>
    <col min="540" max="540" width="10" style="161" customWidth="1"/>
    <col min="541" max="770" width="9" style="161"/>
    <col min="771" max="771" width="6.109375" style="161" customWidth="1"/>
    <col min="772" max="772" width="13.88671875" style="161" customWidth="1"/>
    <col min="773" max="773" width="6.33203125" style="161" customWidth="1"/>
    <col min="774" max="774" width="9.88671875" style="161" customWidth="1"/>
    <col min="775" max="775" width="9.109375" style="161" customWidth="1"/>
    <col min="776" max="776" width="9.33203125" style="161" customWidth="1"/>
    <col min="777" max="777" width="10.109375" style="161" customWidth="1"/>
    <col min="778" max="779" width="9.5546875" style="161" customWidth="1"/>
    <col min="780" max="780" width="6.5546875" style="161" customWidth="1"/>
    <col min="781" max="781" width="9.88671875" style="161" customWidth="1"/>
    <col min="782" max="782" width="9.44140625" style="161" customWidth="1"/>
    <col min="783" max="786" width="7.88671875" style="161" customWidth="1"/>
    <col min="787" max="787" width="9.5546875" style="161" customWidth="1"/>
    <col min="788" max="791" width="8.5546875" style="161" customWidth="1"/>
    <col min="792" max="792" width="8" style="161" customWidth="1"/>
    <col min="793" max="793" width="7.88671875" style="161" customWidth="1"/>
    <col min="794" max="794" width="12.109375" style="161" customWidth="1"/>
    <col min="795" max="795" width="9.33203125" style="161" customWidth="1"/>
    <col min="796" max="796" width="10" style="161" customWidth="1"/>
    <col min="797" max="1026" width="9" style="161"/>
    <col min="1027" max="1027" width="6.109375" style="161" customWidth="1"/>
    <col min="1028" max="1028" width="13.88671875" style="161" customWidth="1"/>
    <col min="1029" max="1029" width="6.33203125" style="161" customWidth="1"/>
    <col min="1030" max="1030" width="9.88671875" style="161" customWidth="1"/>
    <col min="1031" max="1031" width="9.109375" style="161" customWidth="1"/>
    <col min="1032" max="1032" width="9.33203125" style="161" customWidth="1"/>
    <col min="1033" max="1033" width="10.109375" style="161" customWidth="1"/>
    <col min="1034" max="1035" width="9.5546875" style="161" customWidth="1"/>
    <col min="1036" max="1036" width="6.5546875" style="161" customWidth="1"/>
    <col min="1037" max="1037" width="9.88671875" style="161" customWidth="1"/>
    <col min="1038" max="1038" width="9.44140625" style="161" customWidth="1"/>
    <col min="1039" max="1042" width="7.88671875" style="161" customWidth="1"/>
    <col min="1043" max="1043" width="9.5546875" style="161" customWidth="1"/>
    <col min="1044" max="1047" width="8.5546875" style="161" customWidth="1"/>
    <col min="1048" max="1048" width="8" style="161" customWidth="1"/>
    <col min="1049" max="1049" width="7.88671875" style="161" customWidth="1"/>
    <col min="1050" max="1050" width="12.109375" style="161" customWidth="1"/>
    <col min="1051" max="1051" width="9.33203125" style="161" customWidth="1"/>
    <col min="1052" max="1052" width="10" style="161" customWidth="1"/>
    <col min="1053" max="1282" width="9" style="161"/>
    <col min="1283" max="1283" width="6.109375" style="161" customWidth="1"/>
    <col min="1284" max="1284" width="13.88671875" style="161" customWidth="1"/>
    <col min="1285" max="1285" width="6.33203125" style="161" customWidth="1"/>
    <col min="1286" max="1286" width="9.88671875" style="161" customWidth="1"/>
    <col min="1287" max="1287" width="9.109375" style="161" customWidth="1"/>
    <col min="1288" max="1288" width="9.33203125" style="161" customWidth="1"/>
    <col min="1289" max="1289" width="10.109375" style="161" customWidth="1"/>
    <col min="1290" max="1291" width="9.5546875" style="161" customWidth="1"/>
    <col min="1292" max="1292" width="6.5546875" style="161" customWidth="1"/>
    <col min="1293" max="1293" width="9.88671875" style="161" customWidth="1"/>
    <col min="1294" max="1294" width="9.44140625" style="161" customWidth="1"/>
    <col min="1295" max="1298" width="7.88671875" style="161" customWidth="1"/>
    <col min="1299" max="1299" width="9.5546875" style="161" customWidth="1"/>
    <col min="1300" max="1303" width="8.5546875" style="161" customWidth="1"/>
    <col min="1304" max="1304" width="8" style="161" customWidth="1"/>
    <col min="1305" max="1305" width="7.88671875" style="161" customWidth="1"/>
    <col min="1306" max="1306" width="12.109375" style="161" customWidth="1"/>
    <col min="1307" max="1307" width="9.33203125" style="161" customWidth="1"/>
    <col min="1308" max="1308" width="10" style="161" customWidth="1"/>
    <col min="1309" max="1538" width="9" style="161"/>
    <col min="1539" max="1539" width="6.109375" style="161" customWidth="1"/>
    <col min="1540" max="1540" width="13.88671875" style="161" customWidth="1"/>
    <col min="1541" max="1541" width="6.33203125" style="161" customWidth="1"/>
    <col min="1542" max="1542" width="9.88671875" style="161" customWidth="1"/>
    <col min="1543" max="1543" width="9.109375" style="161" customWidth="1"/>
    <col min="1544" max="1544" width="9.33203125" style="161" customWidth="1"/>
    <col min="1545" max="1545" width="10.109375" style="161" customWidth="1"/>
    <col min="1546" max="1547" width="9.5546875" style="161" customWidth="1"/>
    <col min="1548" max="1548" width="6.5546875" style="161" customWidth="1"/>
    <col min="1549" max="1549" width="9.88671875" style="161" customWidth="1"/>
    <col min="1550" max="1550" width="9.44140625" style="161" customWidth="1"/>
    <col min="1551" max="1554" width="7.88671875" style="161" customWidth="1"/>
    <col min="1555" max="1555" width="9.5546875" style="161" customWidth="1"/>
    <col min="1556" max="1559" width="8.5546875" style="161" customWidth="1"/>
    <col min="1560" max="1560" width="8" style="161" customWidth="1"/>
    <col min="1561" max="1561" width="7.88671875" style="161" customWidth="1"/>
    <col min="1562" max="1562" width="12.109375" style="161" customWidth="1"/>
    <col min="1563" max="1563" width="9.33203125" style="161" customWidth="1"/>
    <col min="1564" max="1564" width="10" style="161" customWidth="1"/>
    <col min="1565" max="1794" width="9" style="161"/>
    <col min="1795" max="1795" width="6.109375" style="161" customWidth="1"/>
    <col min="1796" max="1796" width="13.88671875" style="161" customWidth="1"/>
    <col min="1797" max="1797" width="6.33203125" style="161" customWidth="1"/>
    <col min="1798" max="1798" width="9.88671875" style="161" customWidth="1"/>
    <col min="1799" max="1799" width="9.109375" style="161" customWidth="1"/>
    <col min="1800" max="1800" width="9.33203125" style="161" customWidth="1"/>
    <col min="1801" max="1801" width="10.109375" style="161" customWidth="1"/>
    <col min="1802" max="1803" width="9.5546875" style="161" customWidth="1"/>
    <col min="1804" max="1804" width="6.5546875" style="161" customWidth="1"/>
    <col min="1805" max="1805" width="9.88671875" style="161" customWidth="1"/>
    <col min="1806" max="1806" width="9.44140625" style="161" customWidth="1"/>
    <col min="1807" max="1810" width="7.88671875" style="161" customWidth="1"/>
    <col min="1811" max="1811" width="9.5546875" style="161" customWidth="1"/>
    <col min="1812" max="1815" width="8.5546875" style="161" customWidth="1"/>
    <col min="1816" max="1816" width="8" style="161" customWidth="1"/>
    <col min="1817" max="1817" width="7.88671875" style="161" customWidth="1"/>
    <col min="1818" max="1818" width="12.109375" style="161" customWidth="1"/>
    <col min="1819" max="1819" width="9.33203125" style="161" customWidth="1"/>
    <col min="1820" max="1820" width="10" style="161" customWidth="1"/>
    <col min="1821" max="2050" width="9" style="161"/>
    <col min="2051" max="2051" width="6.109375" style="161" customWidth="1"/>
    <col min="2052" max="2052" width="13.88671875" style="161" customWidth="1"/>
    <col min="2053" max="2053" width="6.33203125" style="161" customWidth="1"/>
    <col min="2054" max="2054" width="9.88671875" style="161" customWidth="1"/>
    <col min="2055" max="2055" width="9.109375" style="161" customWidth="1"/>
    <col min="2056" max="2056" width="9.33203125" style="161" customWidth="1"/>
    <col min="2057" max="2057" width="10.109375" style="161" customWidth="1"/>
    <col min="2058" max="2059" width="9.5546875" style="161" customWidth="1"/>
    <col min="2060" max="2060" width="6.5546875" style="161" customWidth="1"/>
    <col min="2061" max="2061" width="9.88671875" style="161" customWidth="1"/>
    <col min="2062" max="2062" width="9.44140625" style="161" customWidth="1"/>
    <col min="2063" max="2066" width="7.88671875" style="161" customWidth="1"/>
    <col min="2067" max="2067" width="9.5546875" style="161" customWidth="1"/>
    <col min="2068" max="2071" width="8.5546875" style="161" customWidth="1"/>
    <col min="2072" max="2072" width="8" style="161" customWidth="1"/>
    <col min="2073" max="2073" width="7.88671875" style="161" customWidth="1"/>
    <col min="2074" max="2074" width="12.109375" style="161" customWidth="1"/>
    <col min="2075" max="2075" width="9.33203125" style="161" customWidth="1"/>
    <col min="2076" max="2076" width="10" style="161" customWidth="1"/>
    <col min="2077" max="2306" width="9" style="161"/>
    <col min="2307" max="2307" width="6.109375" style="161" customWidth="1"/>
    <col min="2308" max="2308" width="13.88671875" style="161" customWidth="1"/>
    <col min="2309" max="2309" width="6.33203125" style="161" customWidth="1"/>
    <col min="2310" max="2310" width="9.88671875" style="161" customWidth="1"/>
    <col min="2311" max="2311" width="9.109375" style="161" customWidth="1"/>
    <col min="2312" max="2312" width="9.33203125" style="161" customWidth="1"/>
    <col min="2313" max="2313" width="10.109375" style="161" customWidth="1"/>
    <col min="2314" max="2315" width="9.5546875" style="161" customWidth="1"/>
    <col min="2316" max="2316" width="6.5546875" style="161" customWidth="1"/>
    <col min="2317" max="2317" width="9.88671875" style="161" customWidth="1"/>
    <col min="2318" max="2318" width="9.44140625" style="161" customWidth="1"/>
    <col min="2319" max="2322" width="7.88671875" style="161" customWidth="1"/>
    <col min="2323" max="2323" width="9.5546875" style="161" customWidth="1"/>
    <col min="2324" max="2327" width="8.5546875" style="161" customWidth="1"/>
    <col min="2328" max="2328" width="8" style="161" customWidth="1"/>
    <col min="2329" max="2329" width="7.88671875" style="161" customWidth="1"/>
    <col min="2330" max="2330" width="12.109375" style="161" customWidth="1"/>
    <col min="2331" max="2331" width="9.33203125" style="161" customWidth="1"/>
    <col min="2332" max="2332" width="10" style="161" customWidth="1"/>
    <col min="2333" max="2562" width="9" style="161"/>
    <col min="2563" max="2563" width="6.109375" style="161" customWidth="1"/>
    <col min="2564" max="2564" width="13.88671875" style="161" customWidth="1"/>
    <col min="2565" max="2565" width="6.33203125" style="161" customWidth="1"/>
    <col min="2566" max="2566" width="9.88671875" style="161" customWidth="1"/>
    <col min="2567" max="2567" width="9.109375" style="161" customWidth="1"/>
    <col min="2568" max="2568" width="9.33203125" style="161" customWidth="1"/>
    <col min="2569" max="2569" width="10.109375" style="161" customWidth="1"/>
    <col min="2570" max="2571" width="9.5546875" style="161" customWidth="1"/>
    <col min="2572" max="2572" width="6.5546875" style="161" customWidth="1"/>
    <col min="2573" max="2573" width="9.88671875" style="161" customWidth="1"/>
    <col min="2574" max="2574" width="9.44140625" style="161" customWidth="1"/>
    <col min="2575" max="2578" width="7.88671875" style="161" customWidth="1"/>
    <col min="2579" max="2579" width="9.5546875" style="161" customWidth="1"/>
    <col min="2580" max="2583" width="8.5546875" style="161" customWidth="1"/>
    <col min="2584" max="2584" width="8" style="161" customWidth="1"/>
    <col min="2585" max="2585" width="7.88671875" style="161" customWidth="1"/>
    <col min="2586" max="2586" width="12.109375" style="161" customWidth="1"/>
    <col min="2587" max="2587" width="9.33203125" style="161" customWidth="1"/>
    <col min="2588" max="2588" width="10" style="161" customWidth="1"/>
    <col min="2589" max="2818" width="9" style="161"/>
    <col min="2819" max="2819" width="6.109375" style="161" customWidth="1"/>
    <col min="2820" max="2820" width="13.88671875" style="161" customWidth="1"/>
    <col min="2821" max="2821" width="6.33203125" style="161" customWidth="1"/>
    <col min="2822" max="2822" width="9.88671875" style="161" customWidth="1"/>
    <col min="2823" max="2823" width="9.109375" style="161" customWidth="1"/>
    <col min="2824" max="2824" width="9.33203125" style="161" customWidth="1"/>
    <col min="2825" max="2825" width="10.109375" style="161" customWidth="1"/>
    <col min="2826" max="2827" width="9.5546875" style="161" customWidth="1"/>
    <col min="2828" max="2828" width="6.5546875" style="161" customWidth="1"/>
    <col min="2829" max="2829" width="9.88671875" style="161" customWidth="1"/>
    <col min="2830" max="2830" width="9.44140625" style="161" customWidth="1"/>
    <col min="2831" max="2834" width="7.88671875" style="161" customWidth="1"/>
    <col min="2835" max="2835" width="9.5546875" style="161" customWidth="1"/>
    <col min="2836" max="2839" width="8.5546875" style="161" customWidth="1"/>
    <col min="2840" max="2840" width="8" style="161" customWidth="1"/>
    <col min="2841" max="2841" width="7.88671875" style="161" customWidth="1"/>
    <col min="2842" max="2842" width="12.109375" style="161" customWidth="1"/>
    <col min="2843" max="2843" width="9.33203125" style="161" customWidth="1"/>
    <col min="2844" max="2844" width="10" style="161" customWidth="1"/>
    <col min="2845" max="3074" width="9" style="161"/>
    <col min="3075" max="3075" width="6.109375" style="161" customWidth="1"/>
    <col min="3076" max="3076" width="13.88671875" style="161" customWidth="1"/>
    <col min="3077" max="3077" width="6.33203125" style="161" customWidth="1"/>
    <col min="3078" max="3078" width="9.88671875" style="161" customWidth="1"/>
    <col min="3079" max="3079" width="9.109375" style="161" customWidth="1"/>
    <col min="3080" max="3080" width="9.33203125" style="161" customWidth="1"/>
    <col min="3081" max="3081" width="10.109375" style="161" customWidth="1"/>
    <col min="3082" max="3083" width="9.5546875" style="161" customWidth="1"/>
    <col min="3084" max="3084" width="6.5546875" style="161" customWidth="1"/>
    <col min="3085" max="3085" width="9.88671875" style="161" customWidth="1"/>
    <col min="3086" max="3086" width="9.44140625" style="161" customWidth="1"/>
    <col min="3087" max="3090" width="7.88671875" style="161" customWidth="1"/>
    <col min="3091" max="3091" width="9.5546875" style="161" customWidth="1"/>
    <col min="3092" max="3095" width="8.5546875" style="161" customWidth="1"/>
    <col min="3096" max="3096" width="8" style="161" customWidth="1"/>
    <col min="3097" max="3097" width="7.88671875" style="161" customWidth="1"/>
    <col min="3098" max="3098" width="12.109375" style="161" customWidth="1"/>
    <col min="3099" max="3099" width="9.33203125" style="161" customWidth="1"/>
    <col min="3100" max="3100" width="10" style="161" customWidth="1"/>
    <col min="3101" max="3330" width="9" style="161"/>
    <col min="3331" max="3331" width="6.109375" style="161" customWidth="1"/>
    <col min="3332" max="3332" width="13.88671875" style="161" customWidth="1"/>
    <col min="3333" max="3333" width="6.33203125" style="161" customWidth="1"/>
    <col min="3334" max="3334" width="9.88671875" style="161" customWidth="1"/>
    <col min="3335" max="3335" width="9.109375" style="161" customWidth="1"/>
    <col min="3336" max="3336" width="9.33203125" style="161" customWidth="1"/>
    <col min="3337" max="3337" width="10.109375" style="161" customWidth="1"/>
    <col min="3338" max="3339" width="9.5546875" style="161" customWidth="1"/>
    <col min="3340" max="3340" width="6.5546875" style="161" customWidth="1"/>
    <col min="3341" max="3341" width="9.88671875" style="161" customWidth="1"/>
    <col min="3342" max="3342" width="9.44140625" style="161" customWidth="1"/>
    <col min="3343" max="3346" width="7.88671875" style="161" customWidth="1"/>
    <col min="3347" max="3347" width="9.5546875" style="161" customWidth="1"/>
    <col min="3348" max="3351" width="8.5546875" style="161" customWidth="1"/>
    <col min="3352" max="3352" width="8" style="161" customWidth="1"/>
    <col min="3353" max="3353" width="7.88671875" style="161" customWidth="1"/>
    <col min="3354" max="3354" width="12.109375" style="161" customWidth="1"/>
    <col min="3355" max="3355" width="9.33203125" style="161" customWidth="1"/>
    <col min="3356" max="3356" width="10" style="161" customWidth="1"/>
    <col min="3357" max="3586" width="9" style="161"/>
    <col min="3587" max="3587" width="6.109375" style="161" customWidth="1"/>
    <col min="3588" max="3588" width="13.88671875" style="161" customWidth="1"/>
    <col min="3589" max="3589" width="6.33203125" style="161" customWidth="1"/>
    <col min="3590" max="3590" width="9.88671875" style="161" customWidth="1"/>
    <col min="3591" max="3591" width="9.109375" style="161" customWidth="1"/>
    <col min="3592" max="3592" width="9.33203125" style="161" customWidth="1"/>
    <col min="3593" max="3593" width="10.109375" style="161" customWidth="1"/>
    <col min="3594" max="3595" width="9.5546875" style="161" customWidth="1"/>
    <col min="3596" max="3596" width="6.5546875" style="161" customWidth="1"/>
    <col min="3597" max="3597" width="9.88671875" style="161" customWidth="1"/>
    <col min="3598" max="3598" width="9.44140625" style="161" customWidth="1"/>
    <col min="3599" max="3602" width="7.88671875" style="161" customWidth="1"/>
    <col min="3603" max="3603" width="9.5546875" style="161" customWidth="1"/>
    <col min="3604" max="3607" width="8.5546875" style="161" customWidth="1"/>
    <col min="3608" max="3608" width="8" style="161" customWidth="1"/>
    <col min="3609" max="3609" width="7.88671875" style="161" customWidth="1"/>
    <col min="3610" max="3610" width="12.109375" style="161" customWidth="1"/>
    <col min="3611" max="3611" width="9.33203125" style="161" customWidth="1"/>
    <col min="3612" max="3612" width="10" style="161" customWidth="1"/>
    <col min="3613" max="3842" width="9" style="161"/>
    <col min="3843" max="3843" width="6.109375" style="161" customWidth="1"/>
    <col min="3844" max="3844" width="13.88671875" style="161" customWidth="1"/>
    <col min="3845" max="3845" width="6.33203125" style="161" customWidth="1"/>
    <col min="3846" max="3846" width="9.88671875" style="161" customWidth="1"/>
    <col min="3847" max="3847" width="9.109375" style="161" customWidth="1"/>
    <col min="3848" max="3848" width="9.33203125" style="161" customWidth="1"/>
    <col min="3849" max="3849" width="10.109375" style="161" customWidth="1"/>
    <col min="3850" max="3851" width="9.5546875" style="161" customWidth="1"/>
    <col min="3852" max="3852" width="6.5546875" style="161" customWidth="1"/>
    <col min="3853" max="3853" width="9.88671875" style="161" customWidth="1"/>
    <col min="3854" max="3854" width="9.44140625" style="161" customWidth="1"/>
    <col min="3855" max="3858" width="7.88671875" style="161" customWidth="1"/>
    <col min="3859" max="3859" width="9.5546875" style="161" customWidth="1"/>
    <col min="3860" max="3863" width="8.5546875" style="161" customWidth="1"/>
    <col min="3864" max="3864" width="8" style="161" customWidth="1"/>
    <col min="3865" max="3865" width="7.88671875" style="161" customWidth="1"/>
    <col min="3866" max="3866" width="12.109375" style="161" customWidth="1"/>
    <col min="3867" max="3867" width="9.33203125" style="161" customWidth="1"/>
    <col min="3868" max="3868" width="10" style="161" customWidth="1"/>
    <col min="3869" max="4098" width="9" style="161"/>
    <col min="4099" max="4099" width="6.109375" style="161" customWidth="1"/>
    <col min="4100" max="4100" width="13.88671875" style="161" customWidth="1"/>
    <col min="4101" max="4101" width="6.33203125" style="161" customWidth="1"/>
    <col min="4102" max="4102" width="9.88671875" style="161" customWidth="1"/>
    <col min="4103" max="4103" width="9.109375" style="161" customWidth="1"/>
    <col min="4104" max="4104" width="9.33203125" style="161" customWidth="1"/>
    <col min="4105" max="4105" width="10.109375" style="161" customWidth="1"/>
    <col min="4106" max="4107" width="9.5546875" style="161" customWidth="1"/>
    <col min="4108" max="4108" width="6.5546875" style="161" customWidth="1"/>
    <col min="4109" max="4109" width="9.88671875" style="161" customWidth="1"/>
    <col min="4110" max="4110" width="9.44140625" style="161" customWidth="1"/>
    <col min="4111" max="4114" width="7.88671875" style="161" customWidth="1"/>
    <col min="4115" max="4115" width="9.5546875" style="161" customWidth="1"/>
    <col min="4116" max="4119" width="8.5546875" style="161" customWidth="1"/>
    <col min="4120" max="4120" width="8" style="161" customWidth="1"/>
    <col min="4121" max="4121" width="7.88671875" style="161" customWidth="1"/>
    <col min="4122" max="4122" width="12.109375" style="161" customWidth="1"/>
    <col min="4123" max="4123" width="9.33203125" style="161" customWidth="1"/>
    <col min="4124" max="4124" width="10" style="161" customWidth="1"/>
    <col min="4125" max="4354" width="9" style="161"/>
    <col min="4355" max="4355" width="6.109375" style="161" customWidth="1"/>
    <col min="4356" max="4356" width="13.88671875" style="161" customWidth="1"/>
    <col min="4357" max="4357" width="6.33203125" style="161" customWidth="1"/>
    <col min="4358" max="4358" width="9.88671875" style="161" customWidth="1"/>
    <col min="4359" max="4359" width="9.109375" style="161" customWidth="1"/>
    <col min="4360" max="4360" width="9.33203125" style="161" customWidth="1"/>
    <col min="4361" max="4361" width="10.109375" style="161" customWidth="1"/>
    <col min="4362" max="4363" width="9.5546875" style="161" customWidth="1"/>
    <col min="4364" max="4364" width="6.5546875" style="161" customWidth="1"/>
    <col min="4365" max="4365" width="9.88671875" style="161" customWidth="1"/>
    <col min="4366" max="4366" width="9.44140625" style="161" customWidth="1"/>
    <col min="4367" max="4370" width="7.88671875" style="161" customWidth="1"/>
    <col min="4371" max="4371" width="9.5546875" style="161" customWidth="1"/>
    <col min="4372" max="4375" width="8.5546875" style="161" customWidth="1"/>
    <col min="4376" max="4376" width="8" style="161" customWidth="1"/>
    <col min="4377" max="4377" width="7.88671875" style="161" customWidth="1"/>
    <col min="4378" max="4378" width="12.109375" style="161" customWidth="1"/>
    <col min="4379" max="4379" width="9.33203125" style="161" customWidth="1"/>
    <col min="4380" max="4380" width="10" style="161" customWidth="1"/>
    <col min="4381" max="4610" width="9" style="161"/>
    <col min="4611" max="4611" width="6.109375" style="161" customWidth="1"/>
    <col min="4612" max="4612" width="13.88671875" style="161" customWidth="1"/>
    <col min="4613" max="4613" width="6.33203125" style="161" customWidth="1"/>
    <col min="4614" max="4614" width="9.88671875" style="161" customWidth="1"/>
    <col min="4615" max="4615" width="9.109375" style="161" customWidth="1"/>
    <col min="4616" max="4616" width="9.33203125" style="161" customWidth="1"/>
    <col min="4617" max="4617" width="10.109375" style="161" customWidth="1"/>
    <col min="4618" max="4619" width="9.5546875" style="161" customWidth="1"/>
    <col min="4620" max="4620" width="6.5546875" style="161" customWidth="1"/>
    <col min="4621" max="4621" width="9.88671875" style="161" customWidth="1"/>
    <col min="4622" max="4622" width="9.44140625" style="161" customWidth="1"/>
    <col min="4623" max="4626" width="7.88671875" style="161" customWidth="1"/>
    <col min="4627" max="4627" width="9.5546875" style="161" customWidth="1"/>
    <col min="4628" max="4631" width="8.5546875" style="161" customWidth="1"/>
    <col min="4632" max="4632" width="8" style="161" customWidth="1"/>
    <col min="4633" max="4633" width="7.88671875" style="161" customWidth="1"/>
    <col min="4634" max="4634" width="12.109375" style="161" customWidth="1"/>
    <col min="4635" max="4635" width="9.33203125" style="161" customWidth="1"/>
    <col min="4636" max="4636" width="10" style="161" customWidth="1"/>
    <col min="4637" max="4866" width="9" style="161"/>
    <col min="4867" max="4867" width="6.109375" style="161" customWidth="1"/>
    <col min="4868" max="4868" width="13.88671875" style="161" customWidth="1"/>
    <col min="4869" max="4869" width="6.33203125" style="161" customWidth="1"/>
    <col min="4870" max="4870" width="9.88671875" style="161" customWidth="1"/>
    <col min="4871" max="4871" width="9.109375" style="161" customWidth="1"/>
    <col min="4872" max="4872" width="9.33203125" style="161" customWidth="1"/>
    <col min="4873" max="4873" width="10.109375" style="161" customWidth="1"/>
    <col min="4874" max="4875" width="9.5546875" style="161" customWidth="1"/>
    <col min="4876" max="4876" width="6.5546875" style="161" customWidth="1"/>
    <col min="4877" max="4877" width="9.88671875" style="161" customWidth="1"/>
    <col min="4878" max="4878" width="9.44140625" style="161" customWidth="1"/>
    <col min="4879" max="4882" width="7.88671875" style="161" customWidth="1"/>
    <col min="4883" max="4883" width="9.5546875" style="161" customWidth="1"/>
    <col min="4884" max="4887" width="8.5546875" style="161" customWidth="1"/>
    <col min="4888" max="4888" width="8" style="161" customWidth="1"/>
    <col min="4889" max="4889" width="7.88671875" style="161" customWidth="1"/>
    <col min="4890" max="4890" width="12.109375" style="161" customWidth="1"/>
    <col min="4891" max="4891" width="9.33203125" style="161" customWidth="1"/>
    <col min="4892" max="4892" width="10" style="161" customWidth="1"/>
    <col min="4893" max="5122" width="9" style="161"/>
    <col min="5123" max="5123" width="6.109375" style="161" customWidth="1"/>
    <col min="5124" max="5124" width="13.88671875" style="161" customWidth="1"/>
    <col min="5125" max="5125" width="6.33203125" style="161" customWidth="1"/>
    <col min="5126" max="5126" width="9.88671875" style="161" customWidth="1"/>
    <col min="5127" max="5127" width="9.109375" style="161" customWidth="1"/>
    <col min="5128" max="5128" width="9.33203125" style="161" customWidth="1"/>
    <col min="5129" max="5129" width="10.109375" style="161" customWidth="1"/>
    <col min="5130" max="5131" width="9.5546875" style="161" customWidth="1"/>
    <col min="5132" max="5132" width="6.5546875" style="161" customWidth="1"/>
    <col min="5133" max="5133" width="9.88671875" style="161" customWidth="1"/>
    <col min="5134" max="5134" width="9.44140625" style="161" customWidth="1"/>
    <col min="5135" max="5138" width="7.88671875" style="161" customWidth="1"/>
    <col min="5139" max="5139" width="9.5546875" style="161" customWidth="1"/>
    <col min="5140" max="5143" width="8.5546875" style="161" customWidth="1"/>
    <col min="5144" max="5144" width="8" style="161" customWidth="1"/>
    <col min="5145" max="5145" width="7.88671875" style="161" customWidth="1"/>
    <col min="5146" max="5146" width="12.109375" style="161" customWidth="1"/>
    <col min="5147" max="5147" width="9.33203125" style="161" customWidth="1"/>
    <col min="5148" max="5148" width="10" style="161" customWidth="1"/>
    <col min="5149" max="5378" width="9" style="161"/>
    <col min="5379" max="5379" width="6.109375" style="161" customWidth="1"/>
    <col min="5380" max="5380" width="13.88671875" style="161" customWidth="1"/>
    <col min="5381" max="5381" width="6.33203125" style="161" customWidth="1"/>
    <col min="5382" max="5382" width="9.88671875" style="161" customWidth="1"/>
    <col min="5383" max="5383" width="9.109375" style="161" customWidth="1"/>
    <col min="5384" max="5384" width="9.33203125" style="161" customWidth="1"/>
    <col min="5385" max="5385" width="10.109375" style="161" customWidth="1"/>
    <col min="5386" max="5387" width="9.5546875" style="161" customWidth="1"/>
    <col min="5388" max="5388" width="6.5546875" style="161" customWidth="1"/>
    <col min="5389" max="5389" width="9.88671875" style="161" customWidth="1"/>
    <col min="5390" max="5390" width="9.44140625" style="161" customWidth="1"/>
    <col min="5391" max="5394" width="7.88671875" style="161" customWidth="1"/>
    <col min="5395" max="5395" width="9.5546875" style="161" customWidth="1"/>
    <col min="5396" max="5399" width="8.5546875" style="161" customWidth="1"/>
    <col min="5400" max="5400" width="8" style="161" customWidth="1"/>
    <col min="5401" max="5401" width="7.88671875" style="161" customWidth="1"/>
    <col min="5402" max="5402" width="12.109375" style="161" customWidth="1"/>
    <col min="5403" max="5403" width="9.33203125" style="161" customWidth="1"/>
    <col min="5404" max="5404" width="10" style="161" customWidth="1"/>
    <col min="5405" max="5634" width="9" style="161"/>
    <col min="5635" max="5635" width="6.109375" style="161" customWidth="1"/>
    <col min="5636" max="5636" width="13.88671875" style="161" customWidth="1"/>
    <col min="5637" max="5637" width="6.33203125" style="161" customWidth="1"/>
    <col min="5638" max="5638" width="9.88671875" style="161" customWidth="1"/>
    <col min="5639" max="5639" width="9.109375" style="161" customWidth="1"/>
    <col min="5640" max="5640" width="9.33203125" style="161" customWidth="1"/>
    <col min="5641" max="5641" width="10.109375" style="161" customWidth="1"/>
    <col min="5642" max="5643" width="9.5546875" style="161" customWidth="1"/>
    <col min="5644" max="5644" width="6.5546875" style="161" customWidth="1"/>
    <col min="5645" max="5645" width="9.88671875" style="161" customWidth="1"/>
    <col min="5646" max="5646" width="9.44140625" style="161" customWidth="1"/>
    <col min="5647" max="5650" width="7.88671875" style="161" customWidth="1"/>
    <col min="5651" max="5651" width="9.5546875" style="161" customWidth="1"/>
    <col min="5652" max="5655" width="8.5546875" style="161" customWidth="1"/>
    <col min="5656" max="5656" width="8" style="161" customWidth="1"/>
    <col min="5657" max="5657" width="7.88671875" style="161" customWidth="1"/>
    <col min="5658" max="5658" width="12.109375" style="161" customWidth="1"/>
    <col min="5659" max="5659" width="9.33203125" style="161" customWidth="1"/>
    <col min="5660" max="5660" width="10" style="161" customWidth="1"/>
    <col min="5661" max="5890" width="9" style="161"/>
    <col min="5891" max="5891" width="6.109375" style="161" customWidth="1"/>
    <col min="5892" max="5892" width="13.88671875" style="161" customWidth="1"/>
    <col min="5893" max="5893" width="6.33203125" style="161" customWidth="1"/>
    <col min="5894" max="5894" width="9.88671875" style="161" customWidth="1"/>
    <col min="5895" max="5895" width="9.109375" style="161" customWidth="1"/>
    <col min="5896" max="5896" width="9.33203125" style="161" customWidth="1"/>
    <col min="5897" max="5897" width="10.109375" style="161" customWidth="1"/>
    <col min="5898" max="5899" width="9.5546875" style="161" customWidth="1"/>
    <col min="5900" max="5900" width="6.5546875" style="161" customWidth="1"/>
    <col min="5901" max="5901" width="9.88671875" style="161" customWidth="1"/>
    <col min="5902" max="5902" width="9.44140625" style="161" customWidth="1"/>
    <col min="5903" max="5906" width="7.88671875" style="161" customWidth="1"/>
    <col min="5907" max="5907" width="9.5546875" style="161" customWidth="1"/>
    <col min="5908" max="5911" width="8.5546875" style="161" customWidth="1"/>
    <col min="5912" max="5912" width="8" style="161" customWidth="1"/>
    <col min="5913" max="5913" width="7.88671875" style="161" customWidth="1"/>
    <col min="5914" max="5914" width="12.109375" style="161" customWidth="1"/>
    <col min="5915" max="5915" width="9.33203125" style="161" customWidth="1"/>
    <col min="5916" max="5916" width="10" style="161" customWidth="1"/>
    <col min="5917" max="6146" width="9" style="161"/>
    <col min="6147" max="6147" width="6.109375" style="161" customWidth="1"/>
    <col min="6148" max="6148" width="13.88671875" style="161" customWidth="1"/>
    <col min="6149" max="6149" width="6.33203125" style="161" customWidth="1"/>
    <col min="6150" max="6150" width="9.88671875" style="161" customWidth="1"/>
    <col min="6151" max="6151" width="9.109375" style="161" customWidth="1"/>
    <col min="6152" max="6152" width="9.33203125" style="161" customWidth="1"/>
    <col min="6153" max="6153" width="10.109375" style="161" customWidth="1"/>
    <col min="6154" max="6155" width="9.5546875" style="161" customWidth="1"/>
    <col min="6156" max="6156" width="6.5546875" style="161" customWidth="1"/>
    <col min="6157" max="6157" width="9.88671875" style="161" customWidth="1"/>
    <col min="6158" max="6158" width="9.44140625" style="161" customWidth="1"/>
    <col min="6159" max="6162" width="7.88671875" style="161" customWidth="1"/>
    <col min="6163" max="6163" width="9.5546875" style="161" customWidth="1"/>
    <col min="6164" max="6167" width="8.5546875" style="161" customWidth="1"/>
    <col min="6168" max="6168" width="8" style="161" customWidth="1"/>
    <col min="6169" max="6169" width="7.88671875" style="161" customWidth="1"/>
    <col min="6170" max="6170" width="12.109375" style="161" customWidth="1"/>
    <col min="6171" max="6171" width="9.33203125" style="161" customWidth="1"/>
    <col min="6172" max="6172" width="10" style="161" customWidth="1"/>
    <col min="6173" max="6402" width="9" style="161"/>
    <col min="6403" max="6403" width="6.109375" style="161" customWidth="1"/>
    <col min="6404" max="6404" width="13.88671875" style="161" customWidth="1"/>
    <col min="6405" max="6405" width="6.33203125" style="161" customWidth="1"/>
    <col min="6406" max="6406" width="9.88671875" style="161" customWidth="1"/>
    <col min="6407" max="6407" width="9.109375" style="161" customWidth="1"/>
    <col min="6408" max="6408" width="9.33203125" style="161" customWidth="1"/>
    <col min="6409" max="6409" width="10.109375" style="161" customWidth="1"/>
    <col min="6410" max="6411" width="9.5546875" style="161" customWidth="1"/>
    <col min="6412" max="6412" width="6.5546875" style="161" customWidth="1"/>
    <col min="6413" max="6413" width="9.88671875" style="161" customWidth="1"/>
    <col min="6414" max="6414" width="9.44140625" style="161" customWidth="1"/>
    <col min="6415" max="6418" width="7.88671875" style="161" customWidth="1"/>
    <col min="6419" max="6419" width="9.5546875" style="161" customWidth="1"/>
    <col min="6420" max="6423" width="8.5546875" style="161" customWidth="1"/>
    <col min="6424" max="6424" width="8" style="161" customWidth="1"/>
    <col min="6425" max="6425" width="7.88671875" style="161" customWidth="1"/>
    <col min="6426" max="6426" width="12.109375" style="161" customWidth="1"/>
    <col min="6427" max="6427" width="9.33203125" style="161" customWidth="1"/>
    <col min="6428" max="6428" width="10" style="161" customWidth="1"/>
    <col min="6429" max="6658" width="9" style="161"/>
    <col min="6659" max="6659" width="6.109375" style="161" customWidth="1"/>
    <col min="6660" max="6660" width="13.88671875" style="161" customWidth="1"/>
    <col min="6661" max="6661" width="6.33203125" style="161" customWidth="1"/>
    <col min="6662" max="6662" width="9.88671875" style="161" customWidth="1"/>
    <col min="6663" max="6663" width="9.109375" style="161" customWidth="1"/>
    <col min="6664" max="6664" width="9.33203125" style="161" customWidth="1"/>
    <col min="6665" max="6665" width="10.109375" style="161" customWidth="1"/>
    <col min="6666" max="6667" width="9.5546875" style="161" customWidth="1"/>
    <col min="6668" max="6668" width="6.5546875" style="161" customWidth="1"/>
    <col min="6669" max="6669" width="9.88671875" style="161" customWidth="1"/>
    <col min="6670" max="6670" width="9.44140625" style="161" customWidth="1"/>
    <col min="6671" max="6674" width="7.88671875" style="161" customWidth="1"/>
    <col min="6675" max="6675" width="9.5546875" style="161" customWidth="1"/>
    <col min="6676" max="6679" width="8.5546875" style="161" customWidth="1"/>
    <col min="6680" max="6680" width="8" style="161" customWidth="1"/>
    <col min="6681" max="6681" width="7.88671875" style="161" customWidth="1"/>
    <col min="6682" max="6682" width="12.109375" style="161" customWidth="1"/>
    <col min="6683" max="6683" width="9.33203125" style="161" customWidth="1"/>
    <col min="6684" max="6684" width="10" style="161" customWidth="1"/>
    <col min="6685" max="6914" width="9" style="161"/>
    <col min="6915" max="6915" width="6.109375" style="161" customWidth="1"/>
    <col min="6916" max="6916" width="13.88671875" style="161" customWidth="1"/>
    <col min="6917" max="6917" width="6.33203125" style="161" customWidth="1"/>
    <col min="6918" max="6918" width="9.88671875" style="161" customWidth="1"/>
    <col min="6919" max="6919" width="9.109375" style="161" customWidth="1"/>
    <col min="6920" max="6920" width="9.33203125" style="161" customWidth="1"/>
    <col min="6921" max="6921" width="10.109375" style="161" customWidth="1"/>
    <col min="6922" max="6923" width="9.5546875" style="161" customWidth="1"/>
    <col min="6924" max="6924" width="6.5546875" style="161" customWidth="1"/>
    <col min="6925" max="6925" width="9.88671875" style="161" customWidth="1"/>
    <col min="6926" max="6926" width="9.44140625" style="161" customWidth="1"/>
    <col min="6927" max="6930" width="7.88671875" style="161" customWidth="1"/>
    <col min="6931" max="6931" width="9.5546875" style="161" customWidth="1"/>
    <col min="6932" max="6935" width="8.5546875" style="161" customWidth="1"/>
    <col min="6936" max="6936" width="8" style="161" customWidth="1"/>
    <col min="6937" max="6937" width="7.88671875" style="161" customWidth="1"/>
    <col min="6938" max="6938" width="12.109375" style="161" customWidth="1"/>
    <col min="6939" max="6939" width="9.33203125" style="161" customWidth="1"/>
    <col min="6940" max="6940" width="10" style="161" customWidth="1"/>
    <col min="6941" max="7170" width="9" style="161"/>
    <col min="7171" max="7171" width="6.109375" style="161" customWidth="1"/>
    <col min="7172" max="7172" width="13.88671875" style="161" customWidth="1"/>
    <col min="7173" max="7173" width="6.33203125" style="161" customWidth="1"/>
    <col min="7174" max="7174" width="9.88671875" style="161" customWidth="1"/>
    <col min="7175" max="7175" width="9.109375" style="161" customWidth="1"/>
    <col min="7176" max="7176" width="9.33203125" style="161" customWidth="1"/>
    <col min="7177" max="7177" width="10.109375" style="161" customWidth="1"/>
    <col min="7178" max="7179" width="9.5546875" style="161" customWidth="1"/>
    <col min="7180" max="7180" width="6.5546875" style="161" customWidth="1"/>
    <col min="7181" max="7181" width="9.88671875" style="161" customWidth="1"/>
    <col min="7182" max="7182" width="9.44140625" style="161" customWidth="1"/>
    <col min="7183" max="7186" width="7.88671875" style="161" customWidth="1"/>
    <col min="7187" max="7187" width="9.5546875" style="161" customWidth="1"/>
    <col min="7188" max="7191" width="8.5546875" style="161" customWidth="1"/>
    <col min="7192" max="7192" width="8" style="161" customWidth="1"/>
    <col min="7193" max="7193" width="7.88671875" style="161" customWidth="1"/>
    <col min="7194" max="7194" width="12.109375" style="161" customWidth="1"/>
    <col min="7195" max="7195" width="9.33203125" style="161" customWidth="1"/>
    <col min="7196" max="7196" width="10" style="161" customWidth="1"/>
    <col min="7197" max="7426" width="9" style="161"/>
    <col min="7427" max="7427" width="6.109375" style="161" customWidth="1"/>
    <col min="7428" max="7428" width="13.88671875" style="161" customWidth="1"/>
    <col min="7429" max="7429" width="6.33203125" style="161" customWidth="1"/>
    <col min="7430" max="7430" width="9.88671875" style="161" customWidth="1"/>
    <col min="7431" max="7431" width="9.109375" style="161" customWidth="1"/>
    <col min="7432" max="7432" width="9.33203125" style="161" customWidth="1"/>
    <col min="7433" max="7433" width="10.109375" style="161" customWidth="1"/>
    <col min="7434" max="7435" width="9.5546875" style="161" customWidth="1"/>
    <col min="7436" max="7436" width="6.5546875" style="161" customWidth="1"/>
    <col min="7437" max="7437" width="9.88671875" style="161" customWidth="1"/>
    <col min="7438" max="7438" width="9.44140625" style="161" customWidth="1"/>
    <col min="7439" max="7442" width="7.88671875" style="161" customWidth="1"/>
    <col min="7443" max="7443" width="9.5546875" style="161" customWidth="1"/>
    <col min="7444" max="7447" width="8.5546875" style="161" customWidth="1"/>
    <col min="7448" max="7448" width="8" style="161" customWidth="1"/>
    <col min="7449" max="7449" width="7.88671875" style="161" customWidth="1"/>
    <col min="7450" max="7450" width="12.109375" style="161" customWidth="1"/>
    <col min="7451" max="7451" width="9.33203125" style="161" customWidth="1"/>
    <col min="7452" max="7452" width="10" style="161" customWidth="1"/>
    <col min="7453" max="7682" width="9" style="161"/>
    <col min="7683" max="7683" width="6.109375" style="161" customWidth="1"/>
    <col min="7684" max="7684" width="13.88671875" style="161" customWidth="1"/>
    <col min="7685" max="7685" width="6.33203125" style="161" customWidth="1"/>
    <col min="7686" max="7686" width="9.88671875" style="161" customWidth="1"/>
    <col min="7687" max="7687" width="9.109375" style="161" customWidth="1"/>
    <col min="7688" max="7688" width="9.33203125" style="161" customWidth="1"/>
    <col min="7689" max="7689" width="10.109375" style="161" customWidth="1"/>
    <col min="7690" max="7691" width="9.5546875" style="161" customWidth="1"/>
    <col min="7692" max="7692" width="6.5546875" style="161" customWidth="1"/>
    <col min="7693" max="7693" width="9.88671875" style="161" customWidth="1"/>
    <col min="7694" max="7694" width="9.44140625" style="161" customWidth="1"/>
    <col min="7695" max="7698" width="7.88671875" style="161" customWidth="1"/>
    <col min="7699" max="7699" width="9.5546875" style="161" customWidth="1"/>
    <col min="7700" max="7703" width="8.5546875" style="161" customWidth="1"/>
    <col min="7704" max="7704" width="8" style="161" customWidth="1"/>
    <col min="7705" max="7705" width="7.88671875" style="161" customWidth="1"/>
    <col min="7706" max="7706" width="12.109375" style="161" customWidth="1"/>
    <col min="7707" max="7707" width="9.33203125" style="161" customWidth="1"/>
    <col min="7708" max="7708" width="10" style="161" customWidth="1"/>
    <col min="7709" max="7938" width="9" style="161"/>
    <col min="7939" max="7939" width="6.109375" style="161" customWidth="1"/>
    <col min="7940" max="7940" width="13.88671875" style="161" customWidth="1"/>
    <col min="7941" max="7941" width="6.33203125" style="161" customWidth="1"/>
    <col min="7942" max="7942" width="9.88671875" style="161" customWidth="1"/>
    <col min="7943" max="7943" width="9.109375" style="161" customWidth="1"/>
    <col min="7944" max="7944" width="9.33203125" style="161" customWidth="1"/>
    <col min="7945" max="7945" width="10.109375" style="161" customWidth="1"/>
    <col min="7946" max="7947" width="9.5546875" style="161" customWidth="1"/>
    <col min="7948" max="7948" width="6.5546875" style="161" customWidth="1"/>
    <col min="7949" max="7949" width="9.88671875" style="161" customWidth="1"/>
    <col min="7950" max="7950" width="9.44140625" style="161" customWidth="1"/>
    <col min="7951" max="7954" width="7.88671875" style="161" customWidth="1"/>
    <col min="7955" max="7955" width="9.5546875" style="161" customWidth="1"/>
    <col min="7956" max="7959" width="8.5546875" style="161" customWidth="1"/>
    <col min="7960" max="7960" width="8" style="161" customWidth="1"/>
    <col min="7961" max="7961" width="7.88671875" style="161" customWidth="1"/>
    <col min="7962" max="7962" width="12.109375" style="161" customWidth="1"/>
    <col min="7963" max="7963" width="9.33203125" style="161" customWidth="1"/>
    <col min="7964" max="7964" width="10" style="161" customWidth="1"/>
    <col min="7965" max="8194" width="9" style="161"/>
    <col min="8195" max="8195" width="6.109375" style="161" customWidth="1"/>
    <col min="8196" max="8196" width="13.88671875" style="161" customWidth="1"/>
    <col min="8197" max="8197" width="6.33203125" style="161" customWidth="1"/>
    <col min="8198" max="8198" width="9.88671875" style="161" customWidth="1"/>
    <col min="8199" max="8199" width="9.109375" style="161" customWidth="1"/>
    <col min="8200" max="8200" width="9.33203125" style="161" customWidth="1"/>
    <col min="8201" max="8201" width="10.109375" style="161" customWidth="1"/>
    <col min="8202" max="8203" width="9.5546875" style="161" customWidth="1"/>
    <col min="8204" max="8204" width="6.5546875" style="161" customWidth="1"/>
    <col min="8205" max="8205" width="9.88671875" style="161" customWidth="1"/>
    <col min="8206" max="8206" width="9.44140625" style="161" customWidth="1"/>
    <col min="8207" max="8210" width="7.88671875" style="161" customWidth="1"/>
    <col min="8211" max="8211" width="9.5546875" style="161" customWidth="1"/>
    <col min="8212" max="8215" width="8.5546875" style="161" customWidth="1"/>
    <col min="8216" max="8216" width="8" style="161" customWidth="1"/>
    <col min="8217" max="8217" width="7.88671875" style="161" customWidth="1"/>
    <col min="8218" max="8218" width="12.109375" style="161" customWidth="1"/>
    <col min="8219" max="8219" width="9.33203125" style="161" customWidth="1"/>
    <col min="8220" max="8220" width="10" style="161" customWidth="1"/>
    <col min="8221" max="8450" width="9" style="161"/>
    <col min="8451" max="8451" width="6.109375" style="161" customWidth="1"/>
    <col min="8452" max="8452" width="13.88671875" style="161" customWidth="1"/>
    <col min="8453" max="8453" width="6.33203125" style="161" customWidth="1"/>
    <col min="8454" max="8454" width="9.88671875" style="161" customWidth="1"/>
    <col min="8455" max="8455" width="9.109375" style="161" customWidth="1"/>
    <col min="8456" max="8456" width="9.33203125" style="161" customWidth="1"/>
    <col min="8457" max="8457" width="10.109375" style="161" customWidth="1"/>
    <col min="8458" max="8459" width="9.5546875" style="161" customWidth="1"/>
    <col min="8460" max="8460" width="6.5546875" style="161" customWidth="1"/>
    <col min="8461" max="8461" width="9.88671875" style="161" customWidth="1"/>
    <col min="8462" max="8462" width="9.44140625" style="161" customWidth="1"/>
    <col min="8463" max="8466" width="7.88671875" style="161" customWidth="1"/>
    <col min="8467" max="8467" width="9.5546875" style="161" customWidth="1"/>
    <col min="8468" max="8471" width="8.5546875" style="161" customWidth="1"/>
    <col min="8472" max="8472" width="8" style="161" customWidth="1"/>
    <col min="8473" max="8473" width="7.88671875" style="161" customWidth="1"/>
    <col min="8474" max="8474" width="12.109375" style="161" customWidth="1"/>
    <col min="8475" max="8475" width="9.33203125" style="161" customWidth="1"/>
    <col min="8476" max="8476" width="10" style="161" customWidth="1"/>
    <col min="8477" max="8706" width="9" style="161"/>
    <col min="8707" max="8707" width="6.109375" style="161" customWidth="1"/>
    <col min="8708" max="8708" width="13.88671875" style="161" customWidth="1"/>
    <col min="8709" max="8709" width="6.33203125" style="161" customWidth="1"/>
    <col min="8710" max="8710" width="9.88671875" style="161" customWidth="1"/>
    <col min="8711" max="8711" width="9.109375" style="161" customWidth="1"/>
    <col min="8712" max="8712" width="9.33203125" style="161" customWidth="1"/>
    <col min="8713" max="8713" width="10.109375" style="161" customWidth="1"/>
    <col min="8714" max="8715" width="9.5546875" style="161" customWidth="1"/>
    <col min="8716" max="8716" width="6.5546875" style="161" customWidth="1"/>
    <col min="8717" max="8717" width="9.88671875" style="161" customWidth="1"/>
    <col min="8718" max="8718" width="9.44140625" style="161" customWidth="1"/>
    <col min="8719" max="8722" width="7.88671875" style="161" customWidth="1"/>
    <col min="8723" max="8723" width="9.5546875" style="161" customWidth="1"/>
    <col min="8724" max="8727" width="8.5546875" style="161" customWidth="1"/>
    <col min="8728" max="8728" width="8" style="161" customWidth="1"/>
    <col min="8729" max="8729" width="7.88671875" style="161" customWidth="1"/>
    <col min="8730" max="8730" width="12.109375" style="161" customWidth="1"/>
    <col min="8731" max="8731" width="9.33203125" style="161" customWidth="1"/>
    <col min="8732" max="8732" width="10" style="161" customWidth="1"/>
    <col min="8733" max="8962" width="9" style="161"/>
    <col min="8963" max="8963" width="6.109375" style="161" customWidth="1"/>
    <col min="8964" max="8964" width="13.88671875" style="161" customWidth="1"/>
    <col min="8965" max="8965" width="6.33203125" style="161" customWidth="1"/>
    <col min="8966" max="8966" width="9.88671875" style="161" customWidth="1"/>
    <col min="8967" max="8967" width="9.109375" style="161" customWidth="1"/>
    <col min="8968" max="8968" width="9.33203125" style="161" customWidth="1"/>
    <col min="8969" max="8969" width="10.109375" style="161" customWidth="1"/>
    <col min="8970" max="8971" width="9.5546875" style="161" customWidth="1"/>
    <col min="8972" max="8972" width="6.5546875" style="161" customWidth="1"/>
    <col min="8973" max="8973" width="9.88671875" style="161" customWidth="1"/>
    <col min="8974" max="8974" width="9.44140625" style="161" customWidth="1"/>
    <col min="8975" max="8978" width="7.88671875" style="161" customWidth="1"/>
    <col min="8979" max="8979" width="9.5546875" style="161" customWidth="1"/>
    <col min="8980" max="8983" width="8.5546875" style="161" customWidth="1"/>
    <col min="8984" max="8984" width="8" style="161" customWidth="1"/>
    <col min="8985" max="8985" width="7.88671875" style="161" customWidth="1"/>
    <col min="8986" max="8986" width="12.109375" style="161" customWidth="1"/>
    <col min="8987" max="8987" width="9.33203125" style="161" customWidth="1"/>
    <col min="8988" max="8988" width="10" style="161" customWidth="1"/>
    <col min="8989" max="9218" width="9" style="161"/>
    <col min="9219" max="9219" width="6.109375" style="161" customWidth="1"/>
    <col min="9220" max="9220" width="13.88671875" style="161" customWidth="1"/>
    <col min="9221" max="9221" width="6.33203125" style="161" customWidth="1"/>
    <col min="9222" max="9222" width="9.88671875" style="161" customWidth="1"/>
    <col min="9223" max="9223" width="9.109375" style="161" customWidth="1"/>
    <col min="9224" max="9224" width="9.33203125" style="161" customWidth="1"/>
    <col min="9225" max="9225" width="10.109375" style="161" customWidth="1"/>
    <col min="9226" max="9227" width="9.5546875" style="161" customWidth="1"/>
    <col min="9228" max="9228" width="6.5546875" style="161" customWidth="1"/>
    <col min="9229" max="9229" width="9.88671875" style="161" customWidth="1"/>
    <col min="9230" max="9230" width="9.44140625" style="161" customWidth="1"/>
    <col min="9231" max="9234" width="7.88671875" style="161" customWidth="1"/>
    <col min="9235" max="9235" width="9.5546875" style="161" customWidth="1"/>
    <col min="9236" max="9239" width="8.5546875" style="161" customWidth="1"/>
    <col min="9240" max="9240" width="8" style="161" customWidth="1"/>
    <col min="9241" max="9241" width="7.88671875" style="161" customWidth="1"/>
    <col min="9242" max="9242" width="12.109375" style="161" customWidth="1"/>
    <col min="9243" max="9243" width="9.33203125" style="161" customWidth="1"/>
    <col min="9244" max="9244" width="10" style="161" customWidth="1"/>
    <col min="9245" max="9474" width="9" style="161"/>
    <col min="9475" max="9475" width="6.109375" style="161" customWidth="1"/>
    <col min="9476" max="9476" width="13.88671875" style="161" customWidth="1"/>
    <col min="9477" max="9477" width="6.33203125" style="161" customWidth="1"/>
    <col min="9478" max="9478" width="9.88671875" style="161" customWidth="1"/>
    <col min="9479" max="9479" width="9.109375" style="161" customWidth="1"/>
    <col min="9480" max="9480" width="9.33203125" style="161" customWidth="1"/>
    <col min="9481" max="9481" width="10.109375" style="161" customWidth="1"/>
    <col min="9482" max="9483" width="9.5546875" style="161" customWidth="1"/>
    <col min="9484" max="9484" width="6.5546875" style="161" customWidth="1"/>
    <col min="9485" max="9485" width="9.88671875" style="161" customWidth="1"/>
    <col min="9486" max="9486" width="9.44140625" style="161" customWidth="1"/>
    <col min="9487" max="9490" width="7.88671875" style="161" customWidth="1"/>
    <col min="9491" max="9491" width="9.5546875" style="161" customWidth="1"/>
    <col min="9492" max="9495" width="8.5546875" style="161" customWidth="1"/>
    <col min="9496" max="9496" width="8" style="161" customWidth="1"/>
    <col min="9497" max="9497" width="7.88671875" style="161" customWidth="1"/>
    <col min="9498" max="9498" width="12.109375" style="161" customWidth="1"/>
    <col min="9499" max="9499" width="9.33203125" style="161" customWidth="1"/>
    <col min="9500" max="9500" width="10" style="161" customWidth="1"/>
    <col min="9501" max="9730" width="9" style="161"/>
    <col min="9731" max="9731" width="6.109375" style="161" customWidth="1"/>
    <col min="9732" max="9732" width="13.88671875" style="161" customWidth="1"/>
    <col min="9733" max="9733" width="6.33203125" style="161" customWidth="1"/>
    <col min="9734" max="9734" width="9.88671875" style="161" customWidth="1"/>
    <col min="9735" max="9735" width="9.109375" style="161" customWidth="1"/>
    <col min="9736" max="9736" width="9.33203125" style="161" customWidth="1"/>
    <col min="9737" max="9737" width="10.109375" style="161" customWidth="1"/>
    <col min="9738" max="9739" width="9.5546875" style="161" customWidth="1"/>
    <col min="9740" max="9740" width="6.5546875" style="161" customWidth="1"/>
    <col min="9741" max="9741" width="9.88671875" style="161" customWidth="1"/>
    <col min="9742" max="9742" width="9.44140625" style="161" customWidth="1"/>
    <col min="9743" max="9746" width="7.88671875" style="161" customWidth="1"/>
    <col min="9747" max="9747" width="9.5546875" style="161" customWidth="1"/>
    <col min="9748" max="9751" width="8.5546875" style="161" customWidth="1"/>
    <col min="9752" max="9752" width="8" style="161" customWidth="1"/>
    <col min="9753" max="9753" width="7.88671875" style="161" customWidth="1"/>
    <col min="9754" max="9754" width="12.109375" style="161" customWidth="1"/>
    <col min="9755" max="9755" width="9.33203125" style="161" customWidth="1"/>
    <col min="9756" max="9756" width="10" style="161" customWidth="1"/>
    <col min="9757" max="9986" width="9" style="161"/>
    <col min="9987" max="9987" width="6.109375" style="161" customWidth="1"/>
    <col min="9988" max="9988" width="13.88671875" style="161" customWidth="1"/>
    <col min="9989" max="9989" width="6.33203125" style="161" customWidth="1"/>
    <col min="9990" max="9990" width="9.88671875" style="161" customWidth="1"/>
    <col min="9991" max="9991" width="9.109375" style="161" customWidth="1"/>
    <col min="9992" max="9992" width="9.33203125" style="161" customWidth="1"/>
    <col min="9993" max="9993" width="10.109375" style="161" customWidth="1"/>
    <col min="9994" max="9995" width="9.5546875" style="161" customWidth="1"/>
    <col min="9996" max="9996" width="6.5546875" style="161" customWidth="1"/>
    <col min="9997" max="9997" width="9.88671875" style="161" customWidth="1"/>
    <col min="9998" max="9998" width="9.44140625" style="161" customWidth="1"/>
    <col min="9999" max="10002" width="7.88671875" style="161" customWidth="1"/>
    <col min="10003" max="10003" width="9.5546875" style="161" customWidth="1"/>
    <col min="10004" max="10007" width="8.5546875" style="161" customWidth="1"/>
    <col min="10008" max="10008" width="8" style="161" customWidth="1"/>
    <col min="10009" max="10009" width="7.88671875" style="161" customWidth="1"/>
    <col min="10010" max="10010" width="12.109375" style="161" customWidth="1"/>
    <col min="10011" max="10011" width="9.33203125" style="161" customWidth="1"/>
    <col min="10012" max="10012" width="10" style="161" customWidth="1"/>
    <col min="10013" max="10242" width="9" style="161"/>
    <col min="10243" max="10243" width="6.109375" style="161" customWidth="1"/>
    <col min="10244" max="10244" width="13.88671875" style="161" customWidth="1"/>
    <col min="10245" max="10245" width="6.33203125" style="161" customWidth="1"/>
    <col min="10246" max="10246" width="9.88671875" style="161" customWidth="1"/>
    <col min="10247" max="10247" width="9.109375" style="161" customWidth="1"/>
    <col min="10248" max="10248" width="9.33203125" style="161" customWidth="1"/>
    <col min="10249" max="10249" width="10.109375" style="161" customWidth="1"/>
    <col min="10250" max="10251" width="9.5546875" style="161" customWidth="1"/>
    <col min="10252" max="10252" width="6.5546875" style="161" customWidth="1"/>
    <col min="10253" max="10253" width="9.88671875" style="161" customWidth="1"/>
    <col min="10254" max="10254" width="9.44140625" style="161" customWidth="1"/>
    <col min="10255" max="10258" width="7.88671875" style="161" customWidth="1"/>
    <col min="10259" max="10259" width="9.5546875" style="161" customWidth="1"/>
    <col min="10260" max="10263" width="8.5546875" style="161" customWidth="1"/>
    <col min="10264" max="10264" width="8" style="161" customWidth="1"/>
    <col min="10265" max="10265" width="7.88671875" style="161" customWidth="1"/>
    <col min="10266" max="10266" width="12.109375" style="161" customWidth="1"/>
    <col min="10267" max="10267" width="9.33203125" style="161" customWidth="1"/>
    <col min="10268" max="10268" width="10" style="161" customWidth="1"/>
    <col min="10269" max="10498" width="9" style="161"/>
    <col min="10499" max="10499" width="6.109375" style="161" customWidth="1"/>
    <col min="10500" max="10500" width="13.88671875" style="161" customWidth="1"/>
    <col min="10501" max="10501" width="6.33203125" style="161" customWidth="1"/>
    <col min="10502" max="10502" width="9.88671875" style="161" customWidth="1"/>
    <col min="10503" max="10503" width="9.109375" style="161" customWidth="1"/>
    <col min="10504" max="10504" width="9.33203125" style="161" customWidth="1"/>
    <col min="10505" max="10505" width="10.109375" style="161" customWidth="1"/>
    <col min="10506" max="10507" width="9.5546875" style="161" customWidth="1"/>
    <col min="10508" max="10508" width="6.5546875" style="161" customWidth="1"/>
    <col min="10509" max="10509" width="9.88671875" style="161" customWidth="1"/>
    <col min="10510" max="10510" width="9.44140625" style="161" customWidth="1"/>
    <col min="10511" max="10514" width="7.88671875" style="161" customWidth="1"/>
    <col min="10515" max="10515" width="9.5546875" style="161" customWidth="1"/>
    <col min="10516" max="10519" width="8.5546875" style="161" customWidth="1"/>
    <col min="10520" max="10520" width="8" style="161" customWidth="1"/>
    <col min="10521" max="10521" width="7.88671875" style="161" customWidth="1"/>
    <col min="10522" max="10522" width="12.109375" style="161" customWidth="1"/>
    <col min="10523" max="10523" width="9.33203125" style="161" customWidth="1"/>
    <col min="10524" max="10524" width="10" style="161" customWidth="1"/>
    <col min="10525" max="10754" width="9" style="161"/>
    <col min="10755" max="10755" width="6.109375" style="161" customWidth="1"/>
    <col min="10756" max="10756" width="13.88671875" style="161" customWidth="1"/>
    <col min="10757" max="10757" width="6.33203125" style="161" customWidth="1"/>
    <col min="10758" max="10758" width="9.88671875" style="161" customWidth="1"/>
    <col min="10759" max="10759" width="9.109375" style="161" customWidth="1"/>
    <col min="10760" max="10760" width="9.33203125" style="161" customWidth="1"/>
    <col min="10761" max="10761" width="10.109375" style="161" customWidth="1"/>
    <col min="10762" max="10763" width="9.5546875" style="161" customWidth="1"/>
    <col min="10764" max="10764" width="6.5546875" style="161" customWidth="1"/>
    <col min="10765" max="10765" width="9.88671875" style="161" customWidth="1"/>
    <col min="10766" max="10766" width="9.44140625" style="161" customWidth="1"/>
    <col min="10767" max="10770" width="7.88671875" style="161" customWidth="1"/>
    <col min="10771" max="10771" width="9.5546875" style="161" customWidth="1"/>
    <col min="10772" max="10775" width="8.5546875" style="161" customWidth="1"/>
    <col min="10776" max="10776" width="8" style="161" customWidth="1"/>
    <col min="10777" max="10777" width="7.88671875" style="161" customWidth="1"/>
    <col min="10778" max="10778" width="12.109375" style="161" customWidth="1"/>
    <col min="10779" max="10779" width="9.33203125" style="161" customWidth="1"/>
    <col min="10780" max="10780" width="10" style="161" customWidth="1"/>
    <col min="10781" max="11010" width="9" style="161"/>
    <col min="11011" max="11011" width="6.109375" style="161" customWidth="1"/>
    <col min="11012" max="11012" width="13.88671875" style="161" customWidth="1"/>
    <col min="11013" max="11013" width="6.33203125" style="161" customWidth="1"/>
    <col min="11014" max="11014" width="9.88671875" style="161" customWidth="1"/>
    <col min="11015" max="11015" width="9.109375" style="161" customWidth="1"/>
    <col min="11016" max="11016" width="9.33203125" style="161" customWidth="1"/>
    <col min="11017" max="11017" width="10.109375" style="161" customWidth="1"/>
    <col min="11018" max="11019" width="9.5546875" style="161" customWidth="1"/>
    <col min="11020" max="11020" width="6.5546875" style="161" customWidth="1"/>
    <col min="11021" max="11021" width="9.88671875" style="161" customWidth="1"/>
    <col min="11022" max="11022" width="9.44140625" style="161" customWidth="1"/>
    <col min="11023" max="11026" width="7.88671875" style="161" customWidth="1"/>
    <col min="11027" max="11027" width="9.5546875" style="161" customWidth="1"/>
    <col min="11028" max="11031" width="8.5546875" style="161" customWidth="1"/>
    <col min="11032" max="11032" width="8" style="161" customWidth="1"/>
    <col min="11033" max="11033" width="7.88671875" style="161" customWidth="1"/>
    <col min="11034" max="11034" width="12.109375" style="161" customWidth="1"/>
    <col min="11035" max="11035" width="9.33203125" style="161" customWidth="1"/>
    <col min="11036" max="11036" width="10" style="161" customWidth="1"/>
    <col min="11037" max="11266" width="9" style="161"/>
    <col min="11267" max="11267" width="6.109375" style="161" customWidth="1"/>
    <col min="11268" max="11268" width="13.88671875" style="161" customWidth="1"/>
    <col min="11269" max="11269" width="6.33203125" style="161" customWidth="1"/>
    <col min="11270" max="11270" width="9.88671875" style="161" customWidth="1"/>
    <col min="11271" max="11271" width="9.109375" style="161" customWidth="1"/>
    <col min="11272" max="11272" width="9.33203125" style="161" customWidth="1"/>
    <col min="11273" max="11273" width="10.109375" style="161" customWidth="1"/>
    <col min="11274" max="11275" width="9.5546875" style="161" customWidth="1"/>
    <col min="11276" max="11276" width="6.5546875" style="161" customWidth="1"/>
    <col min="11277" max="11277" width="9.88671875" style="161" customWidth="1"/>
    <col min="11278" max="11278" width="9.44140625" style="161" customWidth="1"/>
    <col min="11279" max="11282" width="7.88671875" style="161" customWidth="1"/>
    <col min="11283" max="11283" width="9.5546875" style="161" customWidth="1"/>
    <col min="11284" max="11287" width="8.5546875" style="161" customWidth="1"/>
    <col min="11288" max="11288" width="8" style="161" customWidth="1"/>
    <col min="11289" max="11289" width="7.88671875" style="161" customWidth="1"/>
    <col min="11290" max="11290" width="12.109375" style="161" customWidth="1"/>
    <col min="11291" max="11291" width="9.33203125" style="161" customWidth="1"/>
    <col min="11292" max="11292" width="10" style="161" customWidth="1"/>
    <col min="11293" max="11522" width="9" style="161"/>
    <col min="11523" max="11523" width="6.109375" style="161" customWidth="1"/>
    <col min="11524" max="11524" width="13.88671875" style="161" customWidth="1"/>
    <col min="11525" max="11525" width="6.33203125" style="161" customWidth="1"/>
    <col min="11526" max="11526" width="9.88671875" style="161" customWidth="1"/>
    <col min="11527" max="11527" width="9.109375" style="161" customWidth="1"/>
    <col min="11528" max="11528" width="9.33203125" style="161" customWidth="1"/>
    <col min="11529" max="11529" width="10.109375" style="161" customWidth="1"/>
    <col min="11530" max="11531" width="9.5546875" style="161" customWidth="1"/>
    <col min="11532" max="11532" width="6.5546875" style="161" customWidth="1"/>
    <col min="11533" max="11533" width="9.88671875" style="161" customWidth="1"/>
    <col min="11534" max="11534" width="9.44140625" style="161" customWidth="1"/>
    <col min="11535" max="11538" width="7.88671875" style="161" customWidth="1"/>
    <col min="11539" max="11539" width="9.5546875" style="161" customWidth="1"/>
    <col min="11540" max="11543" width="8.5546875" style="161" customWidth="1"/>
    <col min="11544" max="11544" width="8" style="161" customWidth="1"/>
    <col min="11545" max="11545" width="7.88671875" style="161" customWidth="1"/>
    <col min="11546" max="11546" width="12.109375" style="161" customWidth="1"/>
    <col min="11547" max="11547" width="9.33203125" style="161" customWidth="1"/>
    <col min="11548" max="11548" width="10" style="161" customWidth="1"/>
    <col min="11549" max="11778" width="9" style="161"/>
    <col min="11779" max="11779" width="6.109375" style="161" customWidth="1"/>
    <col min="11780" max="11780" width="13.88671875" style="161" customWidth="1"/>
    <col min="11781" max="11781" width="6.33203125" style="161" customWidth="1"/>
    <col min="11782" max="11782" width="9.88671875" style="161" customWidth="1"/>
    <col min="11783" max="11783" width="9.109375" style="161" customWidth="1"/>
    <col min="11784" max="11784" width="9.33203125" style="161" customWidth="1"/>
    <col min="11785" max="11785" width="10.109375" style="161" customWidth="1"/>
    <col min="11786" max="11787" width="9.5546875" style="161" customWidth="1"/>
    <col min="11788" max="11788" width="6.5546875" style="161" customWidth="1"/>
    <col min="11789" max="11789" width="9.88671875" style="161" customWidth="1"/>
    <col min="11790" max="11790" width="9.44140625" style="161" customWidth="1"/>
    <col min="11791" max="11794" width="7.88671875" style="161" customWidth="1"/>
    <col min="11795" max="11795" width="9.5546875" style="161" customWidth="1"/>
    <col min="11796" max="11799" width="8.5546875" style="161" customWidth="1"/>
    <col min="11800" max="11800" width="8" style="161" customWidth="1"/>
    <col min="11801" max="11801" width="7.88671875" style="161" customWidth="1"/>
    <col min="11802" max="11802" width="12.109375" style="161" customWidth="1"/>
    <col min="11803" max="11803" width="9.33203125" style="161" customWidth="1"/>
    <col min="11804" max="11804" width="10" style="161" customWidth="1"/>
    <col min="11805" max="12034" width="9" style="161"/>
    <col min="12035" max="12035" width="6.109375" style="161" customWidth="1"/>
    <col min="12036" max="12036" width="13.88671875" style="161" customWidth="1"/>
    <col min="12037" max="12037" width="6.33203125" style="161" customWidth="1"/>
    <col min="12038" max="12038" width="9.88671875" style="161" customWidth="1"/>
    <col min="12039" max="12039" width="9.109375" style="161" customWidth="1"/>
    <col min="12040" max="12040" width="9.33203125" style="161" customWidth="1"/>
    <col min="12041" max="12041" width="10.109375" style="161" customWidth="1"/>
    <col min="12042" max="12043" width="9.5546875" style="161" customWidth="1"/>
    <col min="12044" max="12044" width="6.5546875" style="161" customWidth="1"/>
    <col min="12045" max="12045" width="9.88671875" style="161" customWidth="1"/>
    <col min="12046" max="12046" width="9.44140625" style="161" customWidth="1"/>
    <col min="12047" max="12050" width="7.88671875" style="161" customWidth="1"/>
    <col min="12051" max="12051" width="9.5546875" style="161" customWidth="1"/>
    <col min="12052" max="12055" width="8.5546875" style="161" customWidth="1"/>
    <col min="12056" max="12056" width="8" style="161" customWidth="1"/>
    <col min="12057" max="12057" width="7.88671875" style="161" customWidth="1"/>
    <col min="12058" max="12058" width="12.109375" style="161" customWidth="1"/>
    <col min="12059" max="12059" width="9.33203125" style="161" customWidth="1"/>
    <col min="12060" max="12060" width="10" style="161" customWidth="1"/>
    <col min="12061" max="12290" width="9" style="161"/>
    <col min="12291" max="12291" width="6.109375" style="161" customWidth="1"/>
    <col min="12292" max="12292" width="13.88671875" style="161" customWidth="1"/>
    <col min="12293" max="12293" width="6.33203125" style="161" customWidth="1"/>
    <col min="12294" max="12294" width="9.88671875" style="161" customWidth="1"/>
    <col min="12295" max="12295" width="9.109375" style="161" customWidth="1"/>
    <col min="12296" max="12296" width="9.33203125" style="161" customWidth="1"/>
    <col min="12297" max="12297" width="10.109375" style="161" customWidth="1"/>
    <col min="12298" max="12299" width="9.5546875" style="161" customWidth="1"/>
    <col min="12300" max="12300" width="6.5546875" style="161" customWidth="1"/>
    <col min="12301" max="12301" width="9.88671875" style="161" customWidth="1"/>
    <col min="12302" max="12302" width="9.44140625" style="161" customWidth="1"/>
    <col min="12303" max="12306" width="7.88671875" style="161" customWidth="1"/>
    <col min="12307" max="12307" width="9.5546875" style="161" customWidth="1"/>
    <col min="12308" max="12311" width="8.5546875" style="161" customWidth="1"/>
    <col min="12312" max="12312" width="8" style="161" customWidth="1"/>
    <col min="12313" max="12313" width="7.88671875" style="161" customWidth="1"/>
    <col min="12314" max="12314" width="12.109375" style="161" customWidth="1"/>
    <col min="12315" max="12315" width="9.33203125" style="161" customWidth="1"/>
    <col min="12316" max="12316" width="10" style="161" customWidth="1"/>
    <col min="12317" max="12546" width="9" style="161"/>
    <col min="12547" max="12547" width="6.109375" style="161" customWidth="1"/>
    <col min="12548" max="12548" width="13.88671875" style="161" customWidth="1"/>
    <col min="12549" max="12549" width="6.33203125" style="161" customWidth="1"/>
    <col min="12550" max="12550" width="9.88671875" style="161" customWidth="1"/>
    <col min="12551" max="12551" width="9.109375" style="161" customWidth="1"/>
    <col min="12552" max="12552" width="9.33203125" style="161" customWidth="1"/>
    <col min="12553" max="12553" width="10.109375" style="161" customWidth="1"/>
    <col min="12554" max="12555" width="9.5546875" style="161" customWidth="1"/>
    <col min="12556" max="12556" width="6.5546875" style="161" customWidth="1"/>
    <col min="12557" max="12557" width="9.88671875" style="161" customWidth="1"/>
    <col min="12558" max="12558" width="9.44140625" style="161" customWidth="1"/>
    <col min="12559" max="12562" width="7.88671875" style="161" customWidth="1"/>
    <col min="12563" max="12563" width="9.5546875" style="161" customWidth="1"/>
    <col min="12564" max="12567" width="8.5546875" style="161" customWidth="1"/>
    <col min="12568" max="12568" width="8" style="161" customWidth="1"/>
    <col min="12569" max="12569" width="7.88671875" style="161" customWidth="1"/>
    <col min="12570" max="12570" width="12.109375" style="161" customWidth="1"/>
    <col min="12571" max="12571" width="9.33203125" style="161" customWidth="1"/>
    <col min="12572" max="12572" width="10" style="161" customWidth="1"/>
    <col min="12573" max="12802" width="9" style="161"/>
    <col min="12803" max="12803" width="6.109375" style="161" customWidth="1"/>
    <col min="12804" max="12804" width="13.88671875" style="161" customWidth="1"/>
    <col min="12805" max="12805" width="6.33203125" style="161" customWidth="1"/>
    <col min="12806" max="12806" width="9.88671875" style="161" customWidth="1"/>
    <col min="12807" max="12807" width="9.109375" style="161" customWidth="1"/>
    <col min="12808" max="12808" width="9.33203125" style="161" customWidth="1"/>
    <col min="12809" max="12809" width="10.109375" style="161" customWidth="1"/>
    <col min="12810" max="12811" width="9.5546875" style="161" customWidth="1"/>
    <col min="12812" max="12812" width="6.5546875" style="161" customWidth="1"/>
    <col min="12813" max="12813" width="9.88671875" style="161" customWidth="1"/>
    <col min="12814" max="12814" width="9.44140625" style="161" customWidth="1"/>
    <col min="12815" max="12818" width="7.88671875" style="161" customWidth="1"/>
    <col min="12819" max="12819" width="9.5546875" style="161" customWidth="1"/>
    <col min="12820" max="12823" width="8.5546875" style="161" customWidth="1"/>
    <col min="12824" max="12824" width="8" style="161" customWidth="1"/>
    <col min="12825" max="12825" width="7.88671875" style="161" customWidth="1"/>
    <col min="12826" max="12826" width="12.109375" style="161" customWidth="1"/>
    <col min="12827" max="12827" width="9.33203125" style="161" customWidth="1"/>
    <col min="12828" max="12828" width="10" style="161" customWidth="1"/>
    <col min="12829" max="13058" width="9" style="161"/>
    <col min="13059" max="13059" width="6.109375" style="161" customWidth="1"/>
    <col min="13060" max="13060" width="13.88671875" style="161" customWidth="1"/>
    <col min="13061" max="13061" width="6.33203125" style="161" customWidth="1"/>
    <col min="13062" max="13062" width="9.88671875" style="161" customWidth="1"/>
    <col min="13063" max="13063" width="9.109375" style="161" customWidth="1"/>
    <col min="13064" max="13064" width="9.33203125" style="161" customWidth="1"/>
    <col min="13065" max="13065" width="10.109375" style="161" customWidth="1"/>
    <col min="13066" max="13067" width="9.5546875" style="161" customWidth="1"/>
    <col min="13068" max="13068" width="6.5546875" style="161" customWidth="1"/>
    <col min="13069" max="13069" width="9.88671875" style="161" customWidth="1"/>
    <col min="13070" max="13070" width="9.44140625" style="161" customWidth="1"/>
    <col min="13071" max="13074" width="7.88671875" style="161" customWidth="1"/>
    <col min="13075" max="13075" width="9.5546875" style="161" customWidth="1"/>
    <col min="13076" max="13079" width="8.5546875" style="161" customWidth="1"/>
    <col min="13080" max="13080" width="8" style="161" customWidth="1"/>
    <col min="13081" max="13081" width="7.88671875" style="161" customWidth="1"/>
    <col min="13082" max="13082" width="12.109375" style="161" customWidth="1"/>
    <col min="13083" max="13083" width="9.33203125" style="161" customWidth="1"/>
    <col min="13084" max="13084" width="10" style="161" customWidth="1"/>
    <col min="13085" max="13314" width="9" style="161"/>
    <col min="13315" max="13315" width="6.109375" style="161" customWidth="1"/>
    <col min="13316" max="13316" width="13.88671875" style="161" customWidth="1"/>
    <col min="13317" max="13317" width="6.33203125" style="161" customWidth="1"/>
    <col min="13318" max="13318" width="9.88671875" style="161" customWidth="1"/>
    <col min="13319" max="13319" width="9.109375" style="161" customWidth="1"/>
    <col min="13320" max="13320" width="9.33203125" style="161" customWidth="1"/>
    <col min="13321" max="13321" width="10.109375" style="161" customWidth="1"/>
    <col min="13322" max="13323" width="9.5546875" style="161" customWidth="1"/>
    <col min="13324" max="13324" width="6.5546875" style="161" customWidth="1"/>
    <col min="13325" max="13325" width="9.88671875" style="161" customWidth="1"/>
    <col min="13326" max="13326" width="9.44140625" style="161" customWidth="1"/>
    <col min="13327" max="13330" width="7.88671875" style="161" customWidth="1"/>
    <col min="13331" max="13331" width="9.5546875" style="161" customWidth="1"/>
    <col min="13332" max="13335" width="8.5546875" style="161" customWidth="1"/>
    <col min="13336" max="13336" width="8" style="161" customWidth="1"/>
    <col min="13337" max="13337" width="7.88671875" style="161" customWidth="1"/>
    <col min="13338" max="13338" width="12.109375" style="161" customWidth="1"/>
    <col min="13339" max="13339" width="9.33203125" style="161" customWidth="1"/>
    <col min="13340" max="13340" width="10" style="161" customWidth="1"/>
    <col min="13341" max="13570" width="9" style="161"/>
    <col min="13571" max="13571" width="6.109375" style="161" customWidth="1"/>
    <col min="13572" max="13572" width="13.88671875" style="161" customWidth="1"/>
    <col min="13573" max="13573" width="6.33203125" style="161" customWidth="1"/>
    <col min="13574" max="13574" width="9.88671875" style="161" customWidth="1"/>
    <col min="13575" max="13575" width="9.109375" style="161" customWidth="1"/>
    <col min="13576" max="13576" width="9.33203125" style="161" customWidth="1"/>
    <col min="13577" max="13577" width="10.109375" style="161" customWidth="1"/>
    <col min="13578" max="13579" width="9.5546875" style="161" customWidth="1"/>
    <col min="13580" max="13580" width="6.5546875" style="161" customWidth="1"/>
    <col min="13581" max="13581" width="9.88671875" style="161" customWidth="1"/>
    <col min="13582" max="13582" width="9.44140625" style="161" customWidth="1"/>
    <col min="13583" max="13586" width="7.88671875" style="161" customWidth="1"/>
    <col min="13587" max="13587" width="9.5546875" style="161" customWidth="1"/>
    <col min="13588" max="13591" width="8.5546875" style="161" customWidth="1"/>
    <col min="13592" max="13592" width="8" style="161" customWidth="1"/>
    <col min="13593" max="13593" width="7.88671875" style="161" customWidth="1"/>
    <col min="13594" max="13594" width="12.109375" style="161" customWidth="1"/>
    <col min="13595" max="13595" width="9.33203125" style="161" customWidth="1"/>
    <col min="13596" max="13596" width="10" style="161" customWidth="1"/>
    <col min="13597" max="13826" width="9" style="161"/>
    <col min="13827" max="13827" width="6.109375" style="161" customWidth="1"/>
    <col min="13828" max="13828" width="13.88671875" style="161" customWidth="1"/>
    <col min="13829" max="13829" width="6.33203125" style="161" customWidth="1"/>
    <col min="13830" max="13830" width="9.88671875" style="161" customWidth="1"/>
    <col min="13831" max="13831" width="9.109375" style="161" customWidth="1"/>
    <col min="13832" max="13832" width="9.33203125" style="161" customWidth="1"/>
    <col min="13833" max="13833" width="10.109375" style="161" customWidth="1"/>
    <col min="13834" max="13835" width="9.5546875" style="161" customWidth="1"/>
    <col min="13836" max="13836" width="6.5546875" style="161" customWidth="1"/>
    <col min="13837" max="13837" width="9.88671875" style="161" customWidth="1"/>
    <col min="13838" max="13838" width="9.44140625" style="161" customWidth="1"/>
    <col min="13839" max="13842" width="7.88671875" style="161" customWidth="1"/>
    <col min="13843" max="13843" width="9.5546875" style="161" customWidth="1"/>
    <col min="13844" max="13847" width="8.5546875" style="161" customWidth="1"/>
    <col min="13848" max="13848" width="8" style="161" customWidth="1"/>
    <col min="13849" max="13849" width="7.88671875" style="161" customWidth="1"/>
    <col min="13850" max="13850" width="12.109375" style="161" customWidth="1"/>
    <col min="13851" max="13851" width="9.33203125" style="161" customWidth="1"/>
    <col min="13852" max="13852" width="10" style="161" customWidth="1"/>
    <col min="13853" max="14082" width="9" style="161"/>
    <col min="14083" max="14083" width="6.109375" style="161" customWidth="1"/>
    <col min="14084" max="14084" width="13.88671875" style="161" customWidth="1"/>
    <col min="14085" max="14085" width="6.33203125" style="161" customWidth="1"/>
    <col min="14086" max="14086" width="9.88671875" style="161" customWidth="1"/>
    <col min="14087" max="14087" width="9.109375" style="161" customWidth="1"/>
    <col min="14088" max="14088" width="9.33203125" style="161" customWidth="1"/>
    <col min="14089" max="14089" width="10.109375" style="161" customWidth="1"/>
    <col min="14090" max="14091" width="9.5546875" style="161" customWidth="1"/>
    <col min="14092" max="14092" width="6.5546875" style="161" customWidth="1"/>
    <col min="14093" max="14093" width="9.88671875" style="161" customWidth="1"/>
    <col min="14094" max="14094" width="9.44140625" style="161" customWidth="1"/>
    <col min="14095" max="14098" width="7.88671875" style="161" customWidth="1"/>
    <col min="14099" max="14099" width="9.5546875" style="161" customWidth="1"/>
    <col min="14100" max="14103" width="8.5546875" style="161" customWidth="1"/>
    <col min="14104" max="14104" width="8" style="161" customWidth="1"/>
    <col min="14105" max="14105" width="7.88671875" style="161" customWidth="1"/>
    <col min="14106" max="14106" width="12.109375" style="161" customWidth="1"/>
    <col min="14107" max="14107" width="9.33203125" style="161" customWidth="1"/>
    <col min="14108" max="14108" width="10" style="161" customWidth="1"/>
    <col min="14109" max="14338" width="9" style="161"/>
    <col min="14339" max="14339" width="6.109375" style="161" customWidth="1"/>
    <col min="14340" max="14340" width="13.88671875" style="161" customWidth="1"/>
    <col min="14341" max="14341" width="6.33203125" style="161" customWidth="1"/>
    <col min="14342" max="14342" width="9.88671875" style="161" customWidth="1"/>
    <col min="14343" max="14343" width="9.109375" style="161" customWidth="1"/>
    <col min="14344" max="14344" width="9.33203125" style="161" customWidth="1"/>
    <col min="14345" max="14345" width="10.109375" style="161" customWidth="1"/>
    <col min="14346" max="14347" width="9.5546875" style="161" customWidth="1"/>
    <col min="14348" max="14348" width="6.5546875" style="161" customWidth="1"/>
    <col min="14349" max="14349" width="9.88671875" style="161" customWidth="1"/>
    <col min="14350" max="14350" width="9.44140625" style="161" customWidth="1"/>
    <col min="14351" max="14354" width="7.88671875" style="161" customWidth="1"/>
    <col min="14355" max="14355" width="9.5546875" style="161" customWidth="1"/>
    <col min="14356" max="14359" width="8.5546875" style="161" customWidth="1"/>
    <col min="14360" max="14360" width="8" style="161" customWidth="1"/>
    <col min="14361" max="14361" width="7.88671875" style="161" customWidth="1"/>
    <col min="14362" max="14362" width="12.109375" style="161" customWidth="1"/>
    <col min="14363" max="14363" width="9.33203125" style="161" customWidth="1"/>
    <col min="14364" max="14364" width="10" style="161" customWidth="1"/>
    <col min="14365" max="14594" width="9" style="161"/>
    <col min="14595" max="14595" width="6.109375" style="161" customWidth="1"/>
    <col min="14596" max="14596" width="13.88671875" style="161" customWidth="1"/>
    <col min="14597" max="14597" width="6.33203125" style="161" customWidth="1"/>
    <col min="14598" max="14598" width="9.88671875" style="161" customWidth="1"/>
    <col min="14599" max="14599" width="9.109375" style="161" customWidth="1"/>
    <col min="14600" max="14600" width="9.33203125" style="161" customWidth="1"/>
    <col min="14601" max="14601" width="10.109375" style="161" customWidth="1"/>
    <col min="14602" max="14603" width="9.5546875" style="161" customWidth="1"/>
    <col min="14604" max="14604" width="6.5546875" style="161" customWidth="1"/>
    <col min="14605" max="14605" width="9.88671875" style="161" customWidth="1"/>
    <col min="14606" max="14606" width="9.44140625" style="161" customWidth="1"/>
    <col min="14607" max="14610" width="7.88671875" style="161" customWidth="1"/>
    <col min="14611" max="14611" width="9.5546875" style="161" customWidth="1"/>
    <col min="14612" max="14615" width="8.5546875" style="161" customWidth="1"/>
    <col min="14616" max="14616" width="8" style="161" customWidth="1"/>
    <col min="14617" max="14617" width="7.88671875" style="161" customWidth="1"/>
    <col min="14618" max="14618" width="12.109375" style="161" customWidth="1"/>
    <col min="14619" max="14619" width="9.33203125" style="161" customWidth="1"/>
    <col min="14620" max="14620" width="10" style="161" customWidth="1"/>
    <col min="14621" max="14850" width="9" style="161"/>
    <col min="14851" max="14851" width="6.109375" style="161" customWidth="1"/>
    <col min="14852" max="14852" width="13.88671875" style="161" customWidth="1"/>
    <col min="14853" max="14853" width="6.33203125" style="161" customWidth="1"/>
    <col min="14854" max="14854" width="9.88671875" style="161" customWidth="1"/>
    <col min="14855" max="14855" width="9.109375" style="161" customWidth="1"/>
    <col min="14856" max="14856" width="9.33203125" style="161" customWidth="1"/>
    <col min="14857" max="14857" width="10.109375" style="161" customWidth="1"/>
    <col min="14858" max="14859" width="9.5546875" style="161" customWidth="1"/>
    <col min="14860" max="14860" width="6.5546875" style="161" customWidth="1"/>
    <col min="14861" max="14861" width="9.88671875" style="161" customWidth="1"/>
    <col min="14862" max="14862" width="9.44140625" style="161" customWidth="1"/>
    <col min="14863" max="14866" width="7.88671875" style="161" customWidth="1"/>
    <col min="14867" max="14867" width="9.5546875" style="161" customWidth="1"/>
    <col min="14868" max="14871" width="8.5546875" style="161" customWidth="1"/>
    <col min="14872" max="14872" width="8" style="161" customWidth="1"/>
    <col min="14873" max="14873" width="7.88671875" style="161" customWidth="1"/>
    <col min="14874" max="14874" width="12.109375" style="161" customWidth="1"/>
    <col min="14875" max="14875" width="9.33203125" style="161" customWidth="1"/>
    <col min="14876" max="14876" width="10" style="161" customWidth="1"/>
    <col min="14877" max="15106" width="9" style="161"/>
    <col min="15107" max="15107" width="6.109375" style="161" customWidth="1"/>
    <col min="15108" max="15108" width="13.88671875" style="161" customWidth="1"/>
    <col min="15109" max="15109" width="6.33203125" style="161" customWidth="1"/>
    <col min="15110" max="15110" width="9.88671875" style="161" customWidth="1"/>
    <col min="15111" max="15111" width="9.109375" style="161" customWidth="1"/>
    <col min="15112" max="15112" width="9.33203125" style="161" customWidth="1"/>
    <col min="15113" max="15113" width="10.109375" style="161" customWidth="1"/>
    <col min="15114" max="15115" width="9.5546875" style="161" customWidth="1"/>
    <col min="15116" max="15116" width="6.5546875" style="161" customWidth="1"/>
    <col min="15117" max="15117" width="9.88671875" style="161" customWidth="1"/>
    <col min="15118" max="15118" width="9.44140625" style="161" customWidth="1"/>
    <col min="15119" max="15122" width="7.88671875" style="161" customWidth="1"/>
    <col min="15123" max="15123" width="9.5546875" style="161" customWidth="1"/>
    <col min="15124" max="15127" width="8.5546875" style="161" customWidth="1"/>
    <col min="15128" max="15128" width="8" style="161" customWidth="1"/>
    <col min="15129" max="15129" width="7.88671875" style="161" customWidth="1"/>
    <col min="15130" max="15130" width="12.109375" style="161" customWidth="1"/>
    <col min="15131" max="15131" width="9.33203125" style="161" customWidth="1"/>
    <col min="15132" max="15132" width="10" style="161" customWidth="1"/>
    <col min="15133" max="15362" width="9" style="161"/>
    <col min="15363" max="15363" width="6.109375" style="161" customWidth="1"/>
    <col min="15364" max="15364" width="13.88671875" style="161" customWidth="1"/>
    <col min="15365" max="15365" width="6.33203125" style="161" customWidth="1"/>
    <col min="15366" max="15366" width="9.88671875" style="161" customWidth="1"/>
    <col min="15367" max="15367" width="9.109375" style="161" customWidth="1"/>
    <col min="15368" max="15368" width="9.33203125" style="161" customWidth="1"/>
    <col min="15369" max="15369" width="10.109375" style="161" customWidth="1"/>
    <col min="15370" max="15371" width="9.5546875" style="161" customWidth="1"/>
    <col min="15372" max="15372" width="6.5546875" style="161" customWidth="1"/>
    <col min="15373" max="15373" width="9.88671875" style="161" customWidth="1"/>
    <col min="15374" max="15374" width="9.44140625" style="161" customWidth="1"/>
    <col min="15375" max="15378" width="7.88671875" style="161" customWidth="1"/>
    <col min="15379" max="15379" width="9.5546875" style="161" customWidth="1"/>
    <col min="15380" max="15383" width="8.5546875" style="161" customWidth="1"/>
    <col min="15384" max="15384" width="8" style="161" customWidth="1"/>
    <col min="15385" max="15385" width="7.88671875" style="161" customWidth="1"/>
    <col min="15386" max="15386" width="12.109375" style="161" customWidth="1"/>
    <col min="15387" max="15387" width="9.33203125" style="161" customWidth="1"/>
    <col min="15388" max="15388" width="10" style="161" customWidth="1"/>
    <col min="15389" max="15618" width="9" style="161"/>
    <col min="15619" max="15619" width="6.109375" style="161" customWidth="1"/>
    <col min="15620" max="15620" width="13.88671875" style="161" customWidth="1"/>
    <col min="15621" max="15621" width="6.33203125" style="161" customWidth="1"/>
    <col min="15622" max="15622" width="9.88671875" style="161" customWidth="1"/>
    <col min="15623" max="15623" width="9.109375" style="161" customWidth="1"/>
    <col min="15624" max="15624" width="9.33203125" style="161" customWidth="1"/>
    <col min="15625" max="15625" width="10.109375" style="161" customWidth="1"/>
    <col min="15626" max="15627" width="9.5546875" style="161" customWidth="1"/>
    <col min="15628" max="15628" width="6.5546875" style="161" customWidth="1"/>
    <col min="15629" max="15629" width="9.88671875" style="161" customWidth="1"/>
    <col min="15630" max="15630" width="9.44140625" style="161" customWidth="1"/>
    <col min="15631" max="15634" width="7.88671875" style="161" customWidth="1"/>
    <col min="15635" max="15635" width="9.5546875" style="161" customWidth="1"/>
    <col min="15636" max="15639" width="8.5546875" style="161" customWidth="1"/>
    <col min="15640" max="15640" width="8" style="161" customWidth="1"/>
    <col min="15641" max="15641" width="7.88671875" style="161" customWidth="1"/>
    <col min="15642" max="15642" width="12.109375" style="161" customWidth="1"/>
    <col min="15643" max="15643" width="9.33203125" style="161" customWidth="1"/>
    <col min="15644" max="15644" width="10" style="161" customWidth="1"/>
    <col min="15645" max="15874" width="9" style="161"/>
    <col min="15875" max="15875" width="6.109375" style="161" customWidth="1"/>
    <col min="15876" max="15876" width="13.88671875" style="161" customWidth="1"/>
    <col min="15877" max="15877" width="6.33203125" style="161" customWidth="1"/>
    <col min="15878" max="15878" width="9.88671875" style="161" customWidth="1"/>
    <col min="15879" max="15879" width="9.109375" style="161" customWidth="1"/>
    <col min="15880" max="15880" width="9.33203125" style="161" customWidth="1"/>
    <col min="15881" max="15881" width="10.109375" style="161" customWidth="1"/>
    <col min="15882" max="15883" width="9.5546875" style="161" customWidth="1"/>
    <col min="15884" max="15884" width="6.5546875" style="161" customWidth="1"/>
    <col min="15885" max="15885" width="9.88671875" style="161" customWidth="1"/>
    <col min="15886" max="15886" width="9.44140625" style="161" customWidth="1"/>
    <col min="15887" max="15890" width="7.88671875" style="161" customWidth="1"/>
    <col min="15891" max="15891" width="9.5546875" style="161" customWidth="1"/>
    <col min="15892" max="15895" width="8.5546875" style="161" customWidth="1"/>
    <col min="15896" max="15896" width="8" style="161" customWidth="1"/>
    <col min="15897" max="15897" width="7.88671875" style="161" customWidth="1"/>
    <col min="15898" max="15898" width="12.109375" style="161" customWidth="1"/>
    <col min="15899" max="15899" width="9.33203125" style="161" customWidth="1"/>
    <col min="15900" max="15900" width="10" style="161" customWidth="1"/>
    <col min="15901" max="16130" width="9" style="161"/>
    <col min="16131" max="16131" width="6.109375" style="161" customWidth="1"/>
    <col min="16132" max="16132" width="13.88671875" style="161" customWidth="1"/>
    <col min="16133" max="16133" width="6.33203125" style="161" customWidth="1"/>
    <col min="16134" max="16134" width="9.88671875" style="161" customWidth="1"/>
    <col min="16135" max="16135" width="9.109375" style="161" customWidth="1"/>
    <col min="16136" max="16136" width="9.33203125" style="161" customWidth="1"/>
    <col min="16137" max="16137" width="10.109375" style="161" customWidth="1"/>
    <col min="16138" max="16139" width="9.5546875" style="161" customWidth="1"/>
    <col min="16140" max="16140" width="6.5546875" style="161" customWidth="1"/>
    <col min="16141" max="16141" width="9.88671875" style="161" customWidth="1"/>
    <col min="16142" max="16142" width="9.44140625" style="161" customWidth="1"/>
    <col min="16143" max="16146" width="7.88671875" style="161" customWidth="1"/>
    <col min="16147" max="16147" width="9.5546875" style="161" customWidth="1"/>
    <col min="16148" max="16151" width="8.5546875" style="161" customWidth="1"/>
    <col min="16152" max="16152" width="8" style="161" customWidth="1"/>
    <col min="16153" max="16153" width="7.88671875" style="161" customWidth="1"/>
    <col min="16154" max="16154" width="12.109375" style="161" customWidth="1"/>
    <col min="16155" max="16155" width="9.33203125" style="161" customWidth="1"/>
    <col min="16156" max="16156" width="10" style="161" customWidth="1"/>
    <col min="16157" max="16384" width="9" style="161"/>
  </cols>
  <sheetData>
    <row r="1" spans="1:257" ht="24" customHeight="1" x14ac:dyDescent="0.3">
      <c r="A1" s="329" t="s">
        <v>157</v>
      </c>
      <c r="B1" s="329"/>
      <c r="C1" s="329"/>
      <c r="D1" s="329"/>
      <c r="E1" s="329"/>
      <c r="F1" s="329"/>
      <c r="G1" s="329"/>
      <c r="H1" s="329"/>
      <c r="I1" s="329"/>
      <c r="J1" s="329"/>
      <c r="K1" s="329"/>
      <c r="L1" s="329"/>
      <c r="M1" s="329"/>
      <c r="N1" s="329"/>
      <c r="O1" s="329"/>
      <c r="P1" s="329"/>
      <c r="Q1" s="329"/>
      <c r="R1" s="329"/>
      <c r="S1" s="329"/>
      <c r="T1" s="329"/>
      <c r="U1" s="329"/>
      <c r="V1" s="329"/>
      <c r="W1" s="329"/>
      <c r="X1" s="329"/>
      <c r="Y1" s="329"/>
      <c r="Z1" s="329"/>
      <c r="AJ1" s="168"/>
    </row>
    <row r="2" spans="1:257" ht="24" customHeight="1" x14ac:dyDescent="0.3">
      <c r="A2" s="330" t="s">
        <v>158</v>
      </c>
      <c r="B2" s="330"/>
      <c r="C2" s="330"/>
      <c r="D2" s="330"/>
      <c r="E2" s="330"/>
      <c r="F2" s="330"/>
      <c r="G2" s="330"/>
      <c r="H2" s="330"/>
      <c r="I2" s="330"/>
      <c r="J2" s="330"/>
      <c r="K2" s="330"/>
      <c r="L2" s="330"/>
      <c r="M2" s="330"/>
      <c r="N2" s="330"/>
      <c r="O2" s="330"/>
      <c r="P2" s="330"/>
      <c r="Q2" s="330"/>
      <c r="R2" s="330"/>
      <c r="S2" s="330"/>
      <c r="T2" s="330"/>
      <c r="U2" s="330"/>
      <c r="V2" s="330"/>
      <c r="W2" s="330"/>
      <c r="X2" s="330"/>
      <c r="Y2" s="330"/>
      <c r="Z2" s="330"/>
      <c r="AJ2" s="169"/>
    </row>
    <row r="3" spans="1:257" ht="34.5" customHeight="1" x14ac:dyDescent="0.3">
      <c r="A3" s="331" t="str">
        <f>"BẢNG TÍNH - THANH TOÁN TIỀN LƯƠNG THÁNG "&amp;BCC!O4&amp;"/"&amp;BCC!O5</f>
        <v>BẢNG TÍNH - THANH TOÁN TIỀN LƯƠNG THÁNG 10/2026</v>
      </c>
      <c r="B3" s="331"/>
      <c r="C3" s="331"/>
      <c r="D3" s="331"/>
      <c r="E3" s="331"/>
      <c r="F3" s="331"/>
      <c r="G3" s="331"/>
      <c r="H3" s="331"/>
      <c r="I3" s="331"/>
      <c r="J3" s="331"/>
      <c r="K3" s="331"/>
      <c r="L3" s="331"/>
      <c r="M3" s="331"/>
      <c r="N3" s="331"/>
      <c r="O3" s="331"/>
      <c r="P3" s="331"/>
      <c r="Q3" s="331"/>
      <c r="R3" s="331"/>
      <c r="S3" s="331"/>
      <c r="T3" s="331"/>
      <c r="U3" s="331"/>
      <c r="V3" s="331"/>
      <c r="W3" s="331"/>
      <c r="X3" s="331"/>
      <c r="Y3" s="331"/>
      <c r="Z3" s="331"/>
      <c r="AA3" s="170"/>
      <c r="AB3" s="171"/>
      <c r="AC3" s="171"/>
      <c r="AD3" s="171"/>
      <c r="AE3" s="171"/>
      <c r="AF3" s="171"/>
      <c r="AG3" s="171"/>
      <c r="AH3" s="171"/>
      <c r="AI3" s="172"/>
      <c r="AJ3" s="169"/>
      <c r="AK3" s="171"/>
      <c r="AL3" s="171"/>
      <c r="AM3" s="171"/>
      <c r="AN3" s="171"/>
      <c r="AO3" s="171"/>
      <c r="AP3" s="171"/>
      <c r="AQ3" s="171"/>
      <c r="AR3" s="171"/>
      <c r="AS3" s="171"/>
      <c r="AT3" s="171"/>
      <c r="AU3" s="171"/>
      <c r="AV3" s="171"/>
      <c r="AW3" s="171"/>
      <c r="AX3" s="171"/>
      <c r="AY3" s="171"/>
      <c r="AZ3" s="171"/>
      <c r="BA3" s="171"/>
      <c r="BB3" s="171"/>
      <c r="BC3" s="171"/>
      <c r="BD3" s="171"/>
      <c r="BE3" s="171"/>
      <c r="BF3" s="171"/>
      <c r="BG3" s="171"/>
      <c r="BH3" s="171"/>
      <c r="BI3" s="171"/>
      <c r="BJ3" s="171"/>
      <c r="BK3" s="171"/>
      <c r="BL3" s="171"/>
      <c r="BM3" s="171"/>
      <c r="BN3" s="171"/>
      <c r="BO3" s="171"/>
      <c r="BP3" s="171"/>
      <c r="BQ3" s="171"/>
      <c r="BR3" s="171"/>
      <c r="BS3" s="171"/>
      <c r="BT3" s="171"/>
      <c r="BU3" s="171"/>
      <c r="BV3" s="171"/>
      <c r="BW3" s="171"/>
      <c r="BX3" s="171"/>
      <c r="BY3" s="171"/>
      <c r="BZ3" s="171"/>
      <c r="CA3" s="171"/>
      <c r="CB3" s="171"/>
      <c r="CC3" s="171"/>
      <c r="CD3" s="171"/>
      <c r="CE3" s="171"/>
      <c r="CF3" s="171"/>
      <c r="CG3" s="171"/>
      <c r="CH3" s="171"/>
      <c r="CI3" s="171"/>
      <c r="CJ3" s="171"/>
      <c r="CK3" s="171"/>
      <c r="CL3" s="171"/>
      <c r="CM3" s="171"/>
      <c r="CN3" s="171"/>
      <c r="CO3" s="171"/>
      <c r="CP3" s="171"/>
      <c r="CQ3" s="171"/>
      <c r="CR3" s="171"/>
      <c r="CS3" s="171"/>
      <c r="CT3" s="171"/>
      <c r="CU3" s="171"/>
      <c r="CV3" s="171"/>
      <c r="CW3" s="171"/>
      <c r="CX3" s="171"/>
      <c r="CY3" s="171"/>
      <c r="CZ3" s="171"/>
      <c r="DA3" s="171"/>
      <c r="DB3" s="171"/>
      <c r="DC3" s="171"/>
      <c r="DD3" s="171"/>
      <c r="DE3" s="171"/>
      <c r="DF3" s="171"/>
      <c r="DG3" s="171"/>
      <c r="DH3" s="171"/>
      <c r="DI3" s="171"/>
      <c r="DJ3" s="171"/>
      <c r="DK3" s="171"/>
      <c r="DL3" s="171"/>
      <c r="DM3" s="171"/>
      <c r="DN3" s="171"/>
      <c r="DO3" s="171"/>
      <c r="DP3" s="171"/>
      <c r="DQ3" s="171"/>
      <c r="DR3" s="171"/>
      <c r="DS3" s="171"/>
      <c r="DT3" s="171"/>
      <c r="DU3" s="171"/>
      <c r="DV3" s="171"/>
      <c r="DW3" s="171"/>
      <c r="DX3" s="171"/>
      <c r="DY3" s="171"/>
      <c r="DZ3" s="171"/>
      <c r="EA3" s="171"/>
      <c r="EB3" s="171"/>
      <c r="EC3" s="171"/>
      <c r="ED3" s="171"/>
      <c r="EE3" s="171"/>
      <c r="EF3" s="171"/>
      <c r="EG3" s="171"/>
      <c r="EH3" s="171"/>
      <c r="EI3" s="171"/>
      <c r="EJ3" s="171"/>
      <c r="EK3" s="171"/>
      <c r="EL3" s="171"/>
      <c r="EM3" s="171"/>
      <c r="EN3" s="171"/>
      <c r="EO3" s="171"/>
      <c r="EP3" s="171"/>
      <c r="EQ3" s="171"/>
      <c r="ER3" s="171"/>
      <c r="ES3" s="171"/>
      <c r="ET3" s="171"/>
      <c r="EU3" s="171"/>
      <c r="EV3" s="171"/>
      <c r="EW3" s="171"/>
      <c r="EX3" s="171"/>
      <c r="EY3" s="171"/>
      <c r="EZ3" s="171"/>
      <c r="FA3" s="171"/>
      <c r="FB3" s="171"/>
      <c r="FC3" s="171"/>
      <c r="FD3" s="171"/>
      <c r="FE3" s="171"/>
      <c r="FF3" s="171"/>
      <c r="FG3" s="171"/>
      <c r="FH3" s="171"/>
      <c r="FI3" s="171"/>
      <c r="FJ3" s="171"/>
      <c r="FK3" s="171"/>
      <c r="FL3" s="171"/>
      <c r="FM3" s="171"/>
      <c r="FN3" s="171"/>
      <c r="FO3" s="171"/>
      <c r="FP3" s="171"/>
      <c r="FQ3" s="171"/>
      <c r="FR3" s="171"/>
      <c r="FS3" s="171"/>
      <c r="FT3" s="171"/>
      <c r="FU3" s="171"/>
      <c r="FV3" s="171"/>
      <c r="FW3" s="171"/>
      <c r="FX3" s="171"/>
      <c r="FY3" s="171"/>
      <c r="FZ3" s="171"/>
      <c r="GA3" s="171"/>
      <c r="GB3" s="171"/>
      <c r="GC3" s="171"/>
      <c r="GD3" s="171"/>
      <c r="GE3" s="171"/>
      <c r="GF3" s="171"/>
      <c r="GG3" s="171"/>
      <c r="GH3" s="171"/>
      <c r="GI3" s="171"/>
      <c r="GJ3" s="171"/>
      <c r="GK3" s="171"/>
      <c r="GL3" s="171"/>
      <c r="GM3" s="171"/>
      <c r="GN3" s="171"/>
      <c r="GO3" s="171"/>
      <c r="GP3" s="171"/>
      <c r="GQ3" s="171"/>
      <c r="GR3" s="171"/>
      <c r="GS3" s="171"/>
      <c r="GT3" s="171"/>
      <c r="GU3" s="171"/>
      <c r="GV3" s="171"/>
      <c r="GW3" s="171"/>
      <c r="GX3" s="171"/>
      <c r="GY3" s="171"/>
      <c r="GZ3" s="171"/>
      <c r="HA3" s="171"/>
      <c r="HB3" s="171"/>
      <c r="HC3" s="171"/>
      <c r="HD3" s="171"/>
      <c r="HE3" s="171"/>
      <c r="HF3" s="171"/>
      <c r="HG3" s="171"/>
      <c r="HH3" s="171"/>
      <c r="HI3" s="171"/>
      <c r="HJ3" s="171"/>
      <c r="HK3" s="171"/>
      <c r="HL3" s="171"/>
      <c r="HM3" s="171"/>
      <c r="HN3" s="171"/>
      <c r="HO3" s="171"/>
      <c r="HP3" s="171"/>
      <c r="HQ3" s="171"/>
      <c r="HR3" s="171"/>
      <c r="HS3" s="171"/>
      <c r="HT3" s="171"/>
      <c r="HU3" s="171"/>
      <c r="HV3" s="171"/>
      <c r="HW3" s="171"/>
      <c r="HX3" s="171"/>
      <c r="HY3" s="171"/>
      <c r="HZ3" s="171"/>
      <c r="IA3" s="171"/>
      <c r="IB3" s="171"/>
      <c r="IC3" s="171"/>
      <c r="ID3" s="171"/>
      <c r="IE3" s="171"/>
      <c r="IF3" s="171"/>
      <c r="IG3" s="171"/>
      <c r="IH3" s="171"/>
      <c r="II3" s="171"/>
      <c r="IJ3" s="171"/>
      <c r="IK3" s="171"/>
      <c r="IL3" s="171"/>
      <c r="IM3" s="171"/>
      <c r="IN3" s="171"/>
      <c r="IO3" s="171"/>
      <c r="IP3" s="171"/>
      <c r="IQ3" s="171"/>
      <c r="IR3" s="171"/>
      <c r="IS3" s="171"/>
      <c r="IT3" s="171"/>
      <c r="IU3" s="171"/>
      <c r="IV3" s="171"/>
      <c r="IW3" s="171"/>
    </row>
    <row r="4" spans="1:257" s="171" customFormat="1" ht="15" customHeight="1" x14ac:dyDescent="0.3">
      <c r="A4" s="173"/>
      <c r="C4" s="174"/>
      <c r="D4" s="175"/>
      <c r="E4" s="175"/>
      <c r="F4" s="175"/>
      <c r="G4" s="175"/>
      <c r="H4" s="175"/>
      <c r="I4" s="175"/>
      <c r="J4" s="175"/>
      <c r="K4" s="170"/>
      <c r="L4" s="170"/>
      <c r="M4" s="176"/>
      <c r="N4" s="175"/>
      <c r="O4" s="175"/>
      <c r="P4" s="175">
        <f>BCC!$AJ$5</f>
        <v>26</v>
      </c>
      <c r="Q4" s="175"/>
      <c r="R4" s="175"/>
      <c r="S4" s="175"/>
      <c r="T4" s="177"/>
      <c r="U4" s="177"/>
      <c r="V4" s="177"/>
      <c r="W4" s="178"/>
      <c r="X4" s="178"/>
      <c r="Y4" s="178"/>
      <c r="Z4" s="178"/>
      <c r="AA4" s="170"/>
      <c r="AI4" s="172"/>
      <c r="AJ4" s="178"/>
    </row>
    <row r="5" spans="1:257" ht="15.75" customHeight="1" x14ac:dyDescent="0.3">
      <c r="A5" s="332" t="s">
        <v>1</v>
      </c>
      <c r="B5" s="294" t="s">
        <v>24</v>
      </c>
      <c r="C5" s="326" t="s">
        <v>95</v>
      </c>
      <c r="D5" s="328" t="s">
        <v>159</v>
      </c>
      <c r="E5" s="328" t="s">
        <v>160</v>
      </c>
      <c r="F5" s="328"/>
      <c r="G5" s="328"/>
      <c r="H5" s="328"/>
      <c r="I5" s="328"/>
      <c r="J5" s="328"/>
      <c r="K5" s="328" t="s">
        <v>161</v>
      </c>
      <c r="L5" s="328" t="s">
        <v>162</v>
      </c>
      <c r="M5" s="328" t="s">
        <v>163</v>
      </c>
      <c r="N5" s="328" t="s">
        <v>164</v>
      </c>
      <c r="O5" s="327" t="s">
        <v>165</v>
      </c>
      <c r="P5" s="327"/>
      <c r="Q5" s="327"/>
      <c r="R5" s="327"/>
      <c r="S5" s="327" t="s">
        <v>166</v>
      </c>
      <c r="T5" s="327"/>
      <c r="U5" s="327"/>
      <c r="V5" s="327"/>
      <c r="W5" s="328" t="s">
        <v>167</v>
      </c>
      <c r="X5" s="328"/>
      <c r="Y5" s="328"/>
      <c r="Z5" s="328" t="s">
        <v>168</v>
      </c>
      <c r="AA5" s="328" t="s">
        <v>169</v>
      </c>
      <c r="AB5" s="326" t="s">
        <v>170</v>
      </c>
      <c r="AC5" s="326" t="s">
        <v>171</v>
      </c>
      <c r="AD5" s="326" t="s">
        <v>172</v>
      </c>
      <c r="AE5" s="326" t="s">
        <v>173</v>
      </c>
      <c r="AF5" s="326" t="s">
        <v>174</v>
      </c>
      <c r="AG5" s="326" t="s">
        <v>175</v>
      </c>
      <c r="AH5" s="326" t="s">
        <v>176</v>
      </c>
      <c r="AI5" s="322" t="s">
        <v>177</v>
      </c>
      <c r="AJ5" s="339" t="s">
        <v>178</v>
      </c>
      <c r="AK5" s="323" t="s">
        <v>179</v>
      </c>
      <c r="AL5" s="174"/>
      <c r="AM5" s="174"/>
      <c r="AN5" s="174"/>
      <c r="AO5" s="174"/>
      <c r="AP5" s="174"/>
      <c r="AQ5" s="174"/>
      <c r="AR5" s="174"/>
      <c r="AS5" s="174"/>
      <c r="AT5" s="174"/>
      <c r="AU5" s="174"/>
      <c r="AV5" s="174"/>
      <c r="AW5" s="174"/>
      <c r="AX5" s="174"/>
      <c r="AY5" s="174"/>
      <c r="AZ5" s="174"/>
      <c r="BA5" s="174"/>
      <c r="BB5" s="174"/>
      <c r="BC5" s="174"/>
      <c r="BD5" s="174"/>
      <c r="BE5" s="174"/>
      <c r="BF5" s="174"/>
      <c r="BG5" s="174"/>
      <c r="BH5" s="174"/>
      <c r="BI5" s="174"/>
      <c r="BJ5" s="174"/>
      <c r="BK5" s="174"/>
      <c r="BL5" s="174"/>
      <c r="BM5" s="174"/>
      <c r="BN5" s="174"/>
      <c r="BO5" s="174"/>
      <c r="BP5" s="174"/>
      <c r="BQ5" s="174"/>
      <c r="BR5" s="174"/>
      <c r="BS5" s="174"/>
      <c r="BT5" s="174"/>
      <c r="BU5" s="174"/>
      <c r="BV5" s="174"/>
      <c r="BW5" s="174"/>
      <c r="BX5" s="174"/>
      <c r="BY5" s="174"/>
      <c r="BZ5" s="174"/>
      <c r="CA5" s="174"/>
      <c r="CB5" s="174"/>
      <c r="CC5" s="174"/>
      <c r="CD5" s="174"/>
      <c r="CE5" s="174"/>
      <c r="CF5" s="174"/>
      <c r="CG5" s="174"/>
      <c r="CH5" s="174"/>
      <c r="CI5" s="174"/>
      <c r="CJ5" s="174"/>
      <c r="CK5" s="174"/>
      <c r="CL5" s="174"/>
      <c r="CM5" s="174"/>
      <c r="CN5" s="174"/>
      <c r="CO5" s="174"/>
      <c r="CP5" s="174"/>
      <c r="CQ5" s="174"/>
      <c r="CR5" s="174"/>
      <c r="CS5" s="174"/>
      <c r="CT5" s="174"/>
      <c r="CU5" s="174"/>
      <c r="CV5" s="174"/>
      <c r="CW5" s="174"/>
      <c r="CX5" s="174"/>
      <c r="CY5" s="174"/>
      <c r="CZ5" s="174"/>
      <c r="DA5" s="174"/>
      <c r="DB5" s="174"/>
      <c r="DC5" s="174"/>
      <c r="DD5" s="174"/>
      <c r="DE5" s="174"/>
      <c r="DF5" s="174"/>
      <c r="DG5" s="174"/>
      <c r="DH5" s="174"/>
      <c r="DI5" s="174"/>
      <c r="DJ5" s="174"/>
      <c r="DK5" s="174"/>
      <c r="DL5" s="174"/>
      <c r="DM5" s="174"/>
      <c r="DN5" s="174"/>
      <c r="DO5" s="174"/>
      <c r="DP5" s="174"/>
      <c r="DQ5" s="174"/>
      <c r="DR5" s="174"/>
      <c r="DS5" s="174"/>
      <c r="DT5" s="174"/>
      <c r="DU5" s="174"/>
      <c r="DV5" s="174"/>
      <c r="DW5" s="174"/>
      <c r="DX5" s="174"/>
      <c r="DY5" s="174"/>
      <c r="DZ5" s="174"/>
      <c r="EA5" s="174"/>
      <c r="EB5" s="174"/>
      <c r="EC5" s="174"/>
      <c r="ED5" s="174"/>
      <c r="EE5" s="174"/>
      <c r="EF5" s="174"/>
      <c r="EG5" s="174"/>
      <c r="EH5" s="174"/>
      <c r="EI5" s="174"/>
      <c r="EJ5" s="174"/>
      <c r="EK5" s="174"/>
      <c r="EL5" s="174"/>
      <c r="EM5" s="174"/>
      <c r="EN5" s="174"/>
      <c r="EO5" s="174"/>
      <c r="EP5" s="174"/>
      <c r="EQ5" s="174"/>
      <c r="ER5" s="174"/>
      <c r="ES5" s="174"/>
      <c r="ET5" s="174"/>
      <c r="EU5" s="174"/>
      <c r="EV5" s="174"/>
      <c r="EW5" s="174"/>
      <c r="EX5" s="174"/>
      <c r="EY5" s="174"/>
      <c r="EZ5" s="174"/>
      <c r="FA5" s="174"/>
      <c r="FB5" s="174"/>
      <c r="FC5" s="174"/>
      <c r="FD5" s="174"/>
      <c r="FE5" s="174"/>
      <c r="FF5" s="174"/>
      <c r="FG5" s="174"/>
      <c r="FH5" s="174"/>
      <c r="FI5" s="174"/>
      <c r="FJ5" s="174"/>
      <c r="FK5" s="174"/>
      <c r="FL5" s="174"/>
      <c r="FM5" s="174"/>
      <c r="FN5" s="174"/>
      <c r="FO5" s="174"/>
      <c r="FP5" s="174"/>
      <c r="FQ5" s="174"/>
      <c r="FR5" s="174"/>
      <c r="FS5" s="174"/>
      <c r="FT5" s="174"/>
      <c r="FU5" s="174"/>
      <c r="FV5" s="174"/>
      <c r="FW5" s="174"/>
      <c r="FX5" s="174"/>
      <c r="FY5" s="174"/>
      <c r="FZ5" s="174"/>
      <c r="GA5" s="174"/>
      <c r="GB5" s="174"/>
      <c r="GC5" s="174"/>
      <c r="GD5" s="174"/>
      <c r="GE5" s="174"/>
      <c r="GF5" s="174"/>
      <c r="GG5" s="174"/>
      <c r="GH5" s="174"/>
      <c r="GI5" s="174"/>
      <c r="GJ5" s="174"/>
      <c r="GK5" s="174"/>
      <c r="GL5" s="174"/>
      <c r="GM5" s="174"/>
      <c r="GN5" s="174"/>
      <c r="GO5" s="174"/>
      <c r="GP5" s="174"/>
      <c r="GQ5" s="174"/>
      <c r="GR5" s="174"/>
      <c r="GS5" s="174"/>
      <c r="GT5" s="174"/>
      <c r="GU5" s="174"/>
      <c r="GV5" s="174"/>
      <c r="GW5" s="174"/>
      <c r="GX5" s="174"/>
      <c r="GY5" s="174"/>
      <c r="GZ5" s="174"/>
      <c r="HA5" s="174"/>
      <c r="HB5" s="174"/>
      <c r="HC5" s="174"/>
      <c r="HD5" s="174"/>
      <c r="HE5" s="174"/>
      <c r="HF5" s="174"/>
      <c r="HG5" s="174"/>
      <c r="HH5" s="174"/>
      <c r="HI5" s="174"/>
      <c r="HJ5" s="174"/>
      <c r="HK5" s="174"/>
      <c r="HL5" s="174"/>
      <c r="HM5" s="174"/>
      <c r="HN5" s="174"/>
      <c r="HO5" s="174"/>
      <c r="HP5" s="174"/>
      <c r="HQ5" s="174"/>
      <c r="HR5" s="174"/>
      <c r="HS5" s="174"/>
      <c r="HT5" s="174"/>
      <c r="HU5" s="174"/>
      <c r="HV5" s="174"/>
      <c r="HW5" s="174"/>
      <c r="HX5" s="174"/>
      <c r="HY5" s="174"/>
      <c r="HZ5" s="174"/>
      <c r="IA5" s="174"/>
      <c r="IB5" s="174"/>
      <c r="IC5" s="174"/>
      <c r="ID5" s="174"/>
      <c r="IE5" s="174"/>
      <c r="IF5" s="174"/>
      <c r="IG5" s="174"/>
      <c r="IH5" s="174"/>
      <c r="II5" s="174"/>
      <c r="IJ5" s="174"/>
      <c r="IK5" s="174"/>
      <c r="IL5" s="174"/>
      <c r="IM5" s="174"/>
      <c r="IN5" s="174"/>
      <c r="IO5" s="174"/>
      <c r="IP5" s="174"/>
      <c r="IQ5" s="174"/>
      <c r="IR5" s="174"/>
      <c r="IS5" s="174"/>
      <c r="IT5" s="174"/>
      <c r="IU5" s="174"/>
      <c r="IV5" s="174"/>
      <c r="IW5" s="174"/>
    </row>
    <row r="6" spans="1:257" s="182" customFormat="1" ht="69" customHeight="1" x14ac:dyDescent="0.3">
      <c r="A6" s="332"/>
      <c r="B6" s="332"/>
      <c r="C6" s="332"/>
      <c r="D6" s="332"/>
      <c r="E6" s="180" t="s">
        <v>180</v>
      </c>
      <c r="F6" s="180" t="s">
        <v>181</v>
      </c>
      <c r="G6" s="180" t="s">
        <v>100</v>
      </c>
      <c r="H6" s="180" t="s">
        <v>182</v>
      </c>
      <c r="I6" s="180" t="s">
        <v>135</v>
      </c>
      <c r="J6" s="180" t="s">
        <v>151</v>
      </c>
      <c r="K6" s="328"/>
      <c r="L6" s="328"/>
      <c r="M6" s="328"/>
      <c r="N6" s="328"/>
      <c r="O6" s="180" t="s">
        <v>183</v>
      </c>
      <c r="P6" s="180" t="s">
        <v>184</v>
      </c>
      <c r="Q6" s="180" t="s">
        <v>185</v>
      </c>
      <c r="R6" s="180" t="s">
        <v>186</v>
      </c>
      <c r="S6" s="180" t="s">
        <v>187</v>
      </c>
      <c r="T6" s="180" t="s">
        <v>188</v>
      </c>
      <c r="U6" s="180" t="s">
        <v>185</v>
      </c>
      <c r="V6" s="180" t="s">
        <v>189</v>
      </c>
      <c r="W6" s="180" t="s">
        <v>190</v>
      </c>
      <c r="X6" s="180" t="s">
        <v>191</v>
      </c>
      <c r="Y6" s="180" t="s">
        <v>192</v>
      </c>
      <c r="Z6" s="328"/>
      <c r="AA6" s="328"/>
      <c r="AB6" s="328"/>
      <c r="AC6" s="328"/>
      <c r="AD6" s="328"/>
      <c r="AE6" s="328"/>
      <c r="AF6" s="328"/>
      <c r="AG6" s="328"/>
      <c r="AH6" s="328"/>
      <c r="AI6" s="328"/>
      <c r="AJ6" s="328"/>
      <c r="AK6" s="324"/>
      <c r="AL6" s="181"/>
      <c r="AM6" s="181"/>
      <c r="AN6" s="181"/>
      <c r="AO6" s="181"/>
      <c r="AP6" s="181"/>
      <c r="AQ6" s="181"/>
      <c r="AR6" s="181"/>
      <c r="AS6" s="181"/>
      <c r="AT6" s="181"/>
      <c r="AU6" s="181"/>
      <c r="AV6" s="181"/>
      <c r="AW6" s="181"/>
      <c r="AX6" s="181"/>
      <c r="AY6" s="181"/>
      <c r="AZ6" s="181"/>
      <c r="BA6" s="181"/>
      <c r="BB6" s="181"/>
      <c r="BC6" s="181"/>
      <c r="BD6" s="181"/>
      <c r="BE6" s="181"/>
      <c r="BF6" s="181"/>
      <c r="BG6" s="181"/>
      <c r="BH6" s="181"/>
      <c r="BI6" s="181"/>
      <c r="BJ6" s="181"/>
      <c r="BK6" s="181"/>
      <c r="BL6" s="181"/>
      <c r="BM6" s="181"/>
      <c r="BN6" s="181"/>
      <c r="BO6" s="181"/>
      <c r="BP6" s="181"/>
      <c r="BQ6" s="181"/>
      <c r="BR6" s="181"/>
      <c r="BS6" s="181"/>
      <c r="BT6" s="181"/>
      <c r="BU6" s="181"/>
      <c r="BV6" s="181"/>
      <c r="BW6" s="181"/>
      <c r="BX6" s="181"/>
      <c r="BY6" s="181"/>
      <c r="BZ6" s="181"/>
      <c r="CA6" s="181"/>
      <c r="CB6" s="181"/>
      <c r="CC6" s="181"/>
      <c r="CD6" s="181"/>
      <c r="CE6" s="181"/>
      <c r="CF6" s="181"/>
      <c r="CG6" s="181"/>
      <c r="CH6" s="181"/>
      <c r="CI6" s="181"/>
      <c r="CJ6" s="181"/>
      <c r="CK6" s="181"/>
      <c r="CL6" s="181"/>
      <c r="CM6" s="181"/>
      <c r="CN6" s="181"/>
      <c r="CO6" s="181"/>
      <c r="CP6" s="181"/>
      <c r="CQ6" s="181"/>
      <c r="CR6" s="181"/>
      <c r="CS6" s="181"/>
      <c r="CT6" s="181"/>
      <c r="CU6" s="181"/>
      <c r="CV6" s="181"/>
      <c r="CW6" s="181"/>
      <c r="CX6" s="181"/>
      <c r="CY6" s="181"/>
      <c r="CZ6" s="181"/>
      <c r="DA6" s="181"/>
      <c r="DB6" s="181"/>
      <c r="DC6" s="181"/>
      <c r="DD6" s="181"/>
      <c r="DE6" s="181"/>
      <c r="DF6" s="181"/>
      <c r="DG6" s="181"/>
      <c r="DH6" s="181"/>
      <c r="DI6" s="181"/>
      <c r="DJ6" s="181"/>
      <c r="DK6" s="181"/>
      <c r="DL6" s="181"/>
      <c r="DM6" s="181"/>
      <c r="DN6" s="181"/>
      <c r="DO6" s="181"/>
      <c r="DP6" s="181"/>
      <c r="DQ6" s="181"/>
      <c r="DR6" s="181"/>
      <c r="DS6" s="181"/>
      <c r="DT6" s="181"/>
      <c r="DU6" s="181"/>
      <c r="DV6" s="181"/>
      <c r="DW6" s="181"/>
      <c r="DX6" s="181"/>
      <c r="DY6" s="181"/>
      <c r="DZ6" s="181"/>
      <c r="EA6" s="181"/>
      <c r="EB6" s="181"/>
      <c r="EC6" s="181"/>
      <c r="ED6" s="181"/>
      <c r="EE6" s="181"/>
      <c r="EF6" s="181"/>
      <c r="EG6" s="181"/>
      <c r="EH6" s="181"/>
      <c r="EI6" s="181"/>
      <c r="EJ6" s="181"/>
      <c r="EK6" s="181"/>
      <c r="EL6" s="181"/>
      <c r="EM6" s="181"/>
      <c r="EN6" s="181"/>
      <c r="EO6" s="181"/>
      <c r="EP6" s="181"/>
      <c r="EQ6" s="181"/>
      <c r="ER6" s="181"/>
      <c r="ES6" s="181"/>
      <c r="ET6" s="181"/>
      <c r="EU6" s="181"/>
      <c r="EV6" s="181"/>
      <c r="EW6" s="181"/>
      <c r="EX6" s="181"/>
      <c r="EY6" s="181"/>
      <c r="EZ6" s="181"/>
      <c r="FA6" s="181"/>
      <c r="FB6" s="181"/>
      <c r="FC6" s="181"/>
      <c r="FD6" s="181"/>
      <c r="FE6" s="181"/>
      <c r="FF6" s="181"/>
      <c r="FG6" s="181"/>
      <c r="FH6" s="181"/>
      <c r="FI6" s="181"/>
      <c r="FJ6" s="181"/>
      <c r="FK6" s="181"/>
      <c r="FL6" s="181"/>
      <c r="FM6" s="181"/>
      <c r="FN6" s="181"/>
      <c r="FO6" s="181"/>
      <c r="FP6" s="181"/>
      <c r="FQ6" s="181"/>
      <c r="FR6" s="181"/>
      <c r="FS6" s="181"/>
      <c r="FT6" s="181"/>
      <c r="FU6" s="181"/>
      <c r="FV6" s="181"/>
      <c r="FW6" s="181"/>
      <c r="FX6" s="181"/>
      <c r="FY6" s="181"/>
      <c r="FZ6" s="181"/>
      <c r="GA6" s="181"/>
      <c r="GB6" s="181"/>
      <c r="GC6" s="181"/>
      <c r="GD6" s="181"/>
      <c r="GE6" s="181"/>
      <c r="GF6" s="181"/>
      <c r="GG6" s="181"/>
      <c r="GH6" s="181"/>
      <c r="GI6" s="181"/>
      <c r="GJ6" s="181"/>
      <c r="GK6" s="181"/>
      <c r="GL6" s="181"/>
      <c r="GM6" s="181"/>
      <c r="GN6" s="181"/>
      <c r="GO6" s="181"/>
      <c r="GP6" s="181"/>
      <c r="GQ6" s="181"/>
      <c r="GR6" s="181"/>
      <c r="GS6" s="181"/>
      <c r="GT6" s="181"/>
      <c r="GU6" s="181"/>
      <c r="GV6" s="181"/>
      <c r="GW6" s="181"/>
      <c r="GX6" s="181"/>
      <c r="GY6" s="181"/>
      <c r="GZ6" s="181"/>
      <c r="HA6" s="181"/>
      <c r="HB6" s="181"/>
      <c r="HC6" s="181"/>
      <c r="HD6" s="181"/>
      <c r="HE6" s="181"/>
      <c r="HF6" s="181"/>
      <c r="HG6" s="181"/>
      <c r="HH6" s="181"/>
      <c r="HI6" s="181"/>
      <c r="HJ6" s="181"/>
      <c r="HK6" s="181"/>
      <c r="HL6" s="181"/>
      <c r="HM6" s="181"/>
      <c r="HN6" s="181"/>
      <c r="HO6" s="181"/>
      <c r="HP6" s="181"/>
      <c r="HQ6" s="181"/>
      <c r="HR6" s="181"/>
      <c r="HS6" s="181"/>
      <c r="HT6" s="181"/>
      <c r="HU6" s="181"/>
      <c r="HV6" s="181"/>
      <c r="HW6" s="181"/>
      <c r="HX6" s="181"/>
      <c r="HY6" s="181"/>
      <c r="HZ6" s="181"/>
      <c r="IA6" s="181"/>
      <c r="IB6" s="181"/>
      <c r="IC6" s="181"/>
      <c r="ID6" s="181"/>
      <c r="IE6" s="181"/>
      <c r="IF6" s="181"/>
      <c r="IG6" s="181"/>
      <c r="IH6" s="181"/>
      <c r="II6" s="181"/>
      <c r="IJ6" s="181"/>
      <c r="IK6" s="181"/>
      <c r="IL6" s="181"/>
      <c r="IM6" s="181"/>
      <c r="IN6" s="181"/>
      <c r="IO6" s="181"/>
      <c r="IP6" s="181"/>
      <c r="IQ6" s="181"/>
      <c r="IR6" s="181"/>
      <c r="IS6" s="181"/>
      <c r="IT6" s="181"/>
      <c r="IU6" s="181"/>
      <c r="IV6" s="181"/>
      <c r="IW6" s="181"/>
    </row>
    <row r="7" spans="1:257" ht="17.25" customHeight="1" x14ac:dyDescent="0.3">
      <c r="A7" s="179"/>
      <c r="B7" s="5"/>
      <c r="C7" s="4"/>
      <c r="D7" s="180"/>
      <c r="E7" s="183"/>
      <c r="F7" s="183"/>
      <c r="G7" s="183"/>
      <c r="H7" s="183"/>
      <c r="I7" s="183"/>
      <c r="J7" s="183"/>
      <c r="K7" s="183"/>
      <c r="L7" s="183"/>
      <c r="M7" s="180"/>
      <c r="N7" s="180"/>
      <c r="O7" s="184">
        <v>0.17499999999999999</v>
      </c>
      <c r="P7" s="185">
        <v>0.03</v>
      </c>
      <c r="Q7" s="185">
        <v>0.01</v>
      </c>
      <c r="R7" s="186">
        <f>SUM(O7:Q7)</f>
        <v>0.215</v>
      </c>
      <c r="S7" s="185">
        <v>0.08</v>
      </c>
      <c r="T7" s="187">
        <v>1.4999999999999999E-2</v>
      </c>
      <c r="U7" s="185">
        <v>0.01</v>
      </c>
      <c r="V7" s="188">
        <v>0.105</v>
      </c>
      <c r="W7" s="180"/>
      <c r="X7" s="180"/>
      <c r="Y7" s="180"/>
      <c r="Z7" s="180"/>
      <c r="AA7" s="189"/>
      <c r="AB7" s="189"/>
      <c r="AC7" s="189"/>
      <c r="AD7" s="189"/>
      <c r="AE7" s="189"/>
      <c r="AF7" s="189"/>
      <c r="AG7" s="189"/>
      <c r="AH7" s="189"/>
      <c r="AI7" s="189"/>
      <c r="AJ7" s="189"/>
      <c r="AK7" s="174"/>
      <c r="AL7" s="174"/>
      <c r="AM7" s="174"/>
      <c r="AN7" s="174"/>
      <c r="AO7" s="174"/>
      <c r="AP7" s="174"/>
      <c r="AQ7" s="174"/>
      <c r="AR7" s="174"/>
      <c r="AS7" s="174"/>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74"/>
      <c r="BS7" s="174"/>
      <c r="BT7" s="174"/>
      <c r="BU7" s="174"/>
      <c r="BV7" s="174"/>
      <c r="BW7" s="174"/>
      <c r="BX7" s="174"/>
      <c r="BY7" s="174"/>
      <c r="BZ7" s="174"/>
      <c r="CA7" s="174"/>
      <c r="CB7" s="174"/>
      <c r="CC7" s="174"/>
      <c r="CD7" s="174"/>
      <c r="CE7" s="174"/>
      <c r="CF7" s="174"/>
      <c r="CG7" s="174"/>
      <c r="CH7" s="174"/>
      <c r="CI7" s="174"/>
      <c r="CJ7" s="174"/>
      <c r="CK7" s="174"/>
      <c r="CL7" s="174"/>
      <c r="CM7" s="174"/>
      <c r="CN7" s="174"/>
      <c r="CO7" s="174"/>
      <c r="CP7" s="174"/>
      <c r="CQ7" s="174"/>
      <c r="CR7" s="174"/>
      <c r="CS7" s="174"/>
      <c r="CT7" s="174"/>
      <c r="CU7" s="174"/>
      <c r="CV7" s="174"/>
      <c r="CW7" s="174"/>
      <c r="CX7" s="174"/>
      <c r="CY7" s="174"/>
      <c r="CZ7" s="174"/>
      <c r="DA7" s="174"/>
      <c r="DB7" s="174"/>
      <c r="DC7" s="174"/>
      <c r="DD7" s="174"/>
      <c r="DE7" s="174"/>
      <c r="DF7" s="174"/>
      <c r="DG7" s="174"/>
      <c r="DH7" s="174"/>
      <c r="DI7" s="174"/>
      <c r="DJ7" s="174"/>
      <c r="DK7" s="174"/>
      <c r="DL7" s="174"/>
      <c r="DM7" s="174"/>
      <c r="DN7" s="174"/>
      <c r="DO7" s="174"/>
      <c r="DP7" s="174"/>
      <c r="DQ7" s="174"/>
      <c r="DR7" s="174"/>
      <c r="DS7" s="174"/>
      <c r="DT7" s="174"/>
      <c r="DU7" s="174"/>
      <c r="DV7" s="174"/>
      <c r="DW7" s="174"/>
      <c r="DX7" s="174"/>
      <c r="DY7" s="174"/>
      <c r="DZ7" s="174"/>
      <c r="EA7" s="174"/>
      <c r="EB7" s="174"/>
      <c r="EC7" s="174"/>
      <c r="ED7" s="174"/>
      <c r="EE7" s="174"/>
      <c r="EF7" s="174"/>
      <c r="EG7" s="174"/>
      <c r="EH7" s="174"/>
      <c r="EI7" s="174"/>
      <c r="EJ7" s="174"/>
      <c r="EK7" s="174"/>
      <c r="EL7" s="174"/>
      <c r="EM7" s="174"/>
      <c r="EN7" s="174"/>
      <c r="EO7" s="174"/>
      <c r="EP7" s="174"/>
      <c r="EQ7" s="174"/>
      <c r="ER7" s="174"/>
      <c r="ES7" s="174"/>
      <c r="ET7" s="174"/>
      <c r="EU7" s="174"/>
      <c r="EV7" s="174"/>
      <c r="EW7" s="174"/>
      <c r="EX7" s="174"/>
      <c r="EY7" s="174"/>
      <c r="EZ7" s="174"/>
      <c r="FA7" s="174"/>
      <c r="FB7" s="174"/>
      <c r="FC7" s="174"/>
      <c r="FD7" s="174"/>
      <c r="FE7" s="174"/>
      <c r="FF7" s="174"/>
      <c r="FG7" s="174"/>
      <c r="FH7" s="174"/>
      <c r="FI7" s="174"/>
      <c r="FJ7" s="174"/>
      <c r="FK7" s="174"/>
      <c r="FL7" s="174"/>
      <c r="FM7" s="174"/>
      <c r="FN7" s="174"/>
      <c r="FO7" s="174"/>
      <c r="FP7" s="174"/>
      <c r="FQ7" s="174"/>
      <c r="FR7" s="174"/>
      <c r="FS7" s="174"/>
      <c r="FT7" s="174"/>
      <c r="FU7" s="174"/>
      <c r="FV7" s="174"/>
      <c r="FW7" s="174"/>
      <c r="FX7" s="174"/>
      <c r="FY7" s="174"/>
      <c r="FZ7" s="174"/>
      <c r="GA7" s="174"/>
      <c r="GB7" s="174"/>
      <c r="GC7" s="174"/>
      <c r="GD7" s="174"/>
      <c r="GE7" s="174"/>
      <c r="GF7" s="174"/>
      <c r="GG7" s="174"/>
      <c r="GH7" s="174"/>
      <c r="GI7" s="174"/>
      <c r="GJ7" s="174"/>
      <c r="GK7" s="174"/>
      <c r="GL7" s="174"/>
      <c r="GM7" s="174"/>
      <c r="GN7" s="174"/>
      <c r="GO7" s="174"/>
      <c r="GP7" s="174"/>
      <c r="GQ7" s="174"/>
      <c r="GR7" s="174"/>
      <c r="GS7" s="174"/>
      <c r="GT7" s="174"/>
      <c r="GU7" s="174"/>
      <c r="GV7" s="174"/>
      <c r="GW7" s="174"/>
      <c r="GX7" s="174"/>
      <c r="GY7" s="174"/>
      <c r="GZ7" s="174"/>
      <c r="HA7" s="174"/>
      <c r="HB7" s="174"/>
      <c r="HC7" s="174"/>
      <c r="HD7" s="174"/>
      <c r="HE7" s="174"/>
      <c r="HF7" s="174"/>
      <c r="HG7" s="174"/>
      <c r="HH7" s="174"/>
      <c r="HI7" s="174"/>
      <c r="HJ7" s="174"/>
      <c r="HK7" s="174"/>
      <c r="HL7" s="174"/>
      <c r="HM7" s="174"/>
      <c r="HN7" s="174"/>
      <c r="HO7" s="174"/>
      <c r="HP7" s="174"/>
      <c r="HQ7" s="174"/>
      <c r="HR7" s="174"/>
      <c r="HS7" s="174"/>
      <c r="HT7" s="174"/>
      <c r="HU7" s="174"/>
      <c r="HV7" s="174"/>
      <c r="HW7" s="174"/>
      <c r="HX7" s="174"/>
      <c r="HY7" s="174"/>
      <c r="HZ7" s="174"/>
      <c r="IA7" s="174"/>
      <c r="IB7" s="174"/>
      <c r="IC7" s="174"/>
      <c r="ID7" s="174"/>
      <c r="IE7" s="174"/>
      <c r="IF7" s="174"/>
      <c r="IG7" s="174"/>
      <c r="IH7" s="174"/>
      <c r="II7" s="174"/>
      <c r="IJ7" s="174"/>
      <c r="IK7" s="174"/>
      <c r="IL7" s="174"/>
      <c r="IM7" s="174"/>
      <c r="IN7" s="174"/>
      <c r="IO7" s="174"/>
      <c r="IP7" s="174"/>
      <c r="IQ7" s="174"/>
      <c r="IR7" s="174"/>
      <c r="IS7" s="174"/>
      <c r="IT7" s="174"/>
      <c r="IU7" s="174"/>
      <c r="IV7" s="174"/>
      <c r="IW7" s="174"/>
    </row>
    <row r="8" spans="1:257" ht="16.5" customHeight="1" x14ac:dyDescent="0.3">
      <c r="A8" s="190"/>
      <c r="B8" s="61">
        <v>1</v>
      </c>
      <c r="C8" s="61">
        <v>2</v>
      </c>
      <c r="D8" s="61">
        <v>3</v>
      </c>
      <c r="E8" s="61">
        <v>4</v>
      </c>
      <c r="F8" s="61">
        <v>5</v>
      </c>
      <c r="G8" s="61">
        <v>6</v>
      </c>
      <c r="H8" s="61">
        <v>7</v>
      </c>
      <c r="I8" s="61">
        <v>8</v>
      </c>
      <c r="J8" s="61">
        <v>9</v>
      </c>
      <c r="K8" s="61">
        <v>10</v>
      </c>
      <c r="L8" s="61">
        <v>11</v>
      </c>
      <c r="M8" s="61">
        <v>12</v>
      </c>
      <c r="N8" s="61">
        <v>13</v>
      </c>
      <c r="O8" s="61">
        <v>14</v>
      </c>
      <c r="P8" s="61">
        <v>15</v>
      </c>
      <c r="Q8" s="61">
        <v>16</v>
      </c>
      <c r="R8" s="61">
        <v>17</v>
      </c>
      <c r="S8" s="61">
        <v>18</v>
      </c>
      <c r="T8" s="61">
        <v>19</v>
      </c>
      <c r="U8" s="61">
        <v>20</v>
      </c>
      <c r="V8" s="61">
        <v>21</v>
      </c>
      <c r="W8" s="61">
        <v>22</v>
      </c>
      <c r="X8" s="61">
        <v>23</v>
      </c>
      <c r="Y8" s="61">
        <v>24</v>
      </c>
      <c r="Z8" s="61">
        <v>25</v>
      </c>
      <c r="AA8" s="191">
        <v>26</v>
      </c>
      <c r="AB8" s="61">
        <v>27</v>
      </c>
      <c r="AC8" s="61">
        <v>28</v>
      </c>
      <c r="AD8" s="191">
        <v>29</v>
      </c>
      <c r="AE8" s="61">
        <v>30</v>
      </c>
      <c r="AF8" s="61">
        <v>31</v>
      </c>
      <c r="AG8" s="191">
        <v>32</v>
      </c>
      <c r="AH8" s="61">
        <v>33</v>
      </c>
      <c r="AI8" s="61">
        <v>34</v>
      </c>
      <c r="AJ8" s="192"/>
      <c r="AK8" s="61">
        <v>35</v>
      </c>
      <c r="AL8" s="174"/>
      <c r="AM8" s="174"/>
      <c r="AN8" s="174"/>
      <c r="AO8" s="174"/>
      <c r="AP8" s="174"/>
      <c r="AQ8" s="174"/>
      <c r="AR8" s="174"/>
      <c r="AS8" s="174"/>
      <c r="AT8" s="174"/>
      <c r="AU8" s="174"/>
      <c r="AV8" s="174"/>
      <c r="AW8" s="174"/>
      <c r="AX8" s="174"/>
      <c r="AY8" s="174"/>
      <c r="AZ8" s="174"/>
      <c r="BA8" s="174"/>
      <c r="BB8" s="174"/>
      <c r="BC8" s="174"/>
      <c r="BD8" s="174"/>
      <c r="BE8" s="174"/>
      <c r="BF8" s="174"/>
      <c r="BG8" s="174"/>
      <c r="BH8" s="174"/>
      <c r="BI8" s="174"/>
      <c r="BJ8" s="174"/>
      <c r="BK8" s="174"/>
      <c r="BL8" s="174"/>
      <c r="BM8" s="174"/>
      <c r="BN8" s="174"/>
      <c r="BO8" s="174"/>
      <c r="BP8" s="174"/>
      <c r="BQ8" s="174"/>
      <c r="BR8" s="174"/>
      <c r="BS8" s="174"/>
      <c r="BT8" s="174"/>
      <c r="BU8" s="174"/>
      <c r="BV8" s="174"/>
      <c r="BW8" s="174"/>
      <c r="BX8" s="174"/>
      <c r="BY8" s="174"/>
      <c r="BZ8" s="174"/>
      <c r="CA8" s="174"/>
      <c r="CB8" s="174"/>
      <c r="CC8" s="174"/>
      <c r="CD8" s="174"/>
      <c r="CE8" s="174"/>
      <c r="CF8" s="174"/>
      <c r="CG8" s="174"/>
      <c r="CH8" s="174"/>
      <c r="CI8" s="174"/>
      <c r="CJ8" s="174"/>
      <c r="CK8" s="174"/>
      <c r="CL8" s="174"/>
      <c r="CM8" s="174"/>
      <c r="CN8" s="174"/>
      <c r="CO8" s="174"/>
      <c r="CP8" s="174"/>
      <c r="CQ8" s="174"/>
      <c r="CR8" s="174"/>
      <c r="CS8" s="174"/>
      <c r="CT8" s="174"/>
      <c r="CU8" s="174"/>
      <c r="CV8" s="174"/>
      <c r="CW8" s="174"/>
      <c r="CX8" s="174"/>
      <c r="CY8" s="174"/>
      <c r="CZ8" s="174"/>
      <c r="DA8" s="174"/>
      <c r="DB8" s="174"/>
      <c r="DC8" s="174"/>
      <c r="DD8" s="174"/>
      <c r="DE8" s="174"/>
      <c r="DF8" s="174"/>
      <c r="DG8" s="174"/>
      <c r="DH8" s="174"/>
      <c r="DI8" s="174"/>
      <c r="DJ8" s="174"/>
      <c r="DK8" s="174"/>
      <c r="DL8" s="174"/>
      <c r="DM8" s="174"/>
      <c r="DN8" s="174"/>
      <c r="DO8" s="174"/>
      <c r="DP8" s="174"/>
      <c r="DQ8" s="174"/>
      <c r="DR8" s="174"/>
      <c r="DS8" s="174"/>
      <c r="DT8" s="174"/>
      <c r="DU8" s="174"/>
      <c r="DV8" s="174"/>
      <c r="DW8" s="174"/>
      <c r="DX8" s="174"/>
      <c r="DY8" s="174"/>
      <c r="DZ8" s="174"/>
      <c r="EA8" s="174"/>
      <c r="EB8" s="174"/>
      <c r="EC8" s="174"/>
      <c r="ED8" s="174"/>
      <c r="EE8" s="174"/>
      <c r="EF8" s="174"/>
      <c r="EG8" s="174"/>
      <c r="EH8" s="174"/>
      <c r="EI8" s="174"/>
      <c r="EJ8" s="174"/>
      <c r="EK8" s="174"/>
      <c r="EL8" s="174"/>
      <c r="EM8" s="174"/>
      <c r="EN8" s="174"/>
      <c r="EO8" s="174"/>
      <c r="EP8" s="174"/>
      <c r="EQ8" s="174"/>
      <c r="ER8" s="174"/>
      <c r="ES8" s="174"/>
      <c r="ET8" s="174"/>
      <c r="EU8" s="174"/>
      <c r="EV8" s="174"/>
      <c r="EW8" s="174"/>
      <c r="EX8" s="174"/>
      <c r="EY8" s="174"/>
      <c r="EZ8" s="174"/>
      <c r="FA8" s="174"/>
      <c r="FB8" s="174"/>
      <c r="FC8" s="174"/>
      <c r="FD8" s="174"/>
      <c r="FE8" s="174"/>
      <c r="FF8" s="174"/>
      <c r="FG8" s="174"/>
      <c r="FH8" s="174"/>
      <c r="FI8" s="174"/>
      <c r="FJ8" s="174"/>
      <c r="FK8" s="174"/>
      <c r="FL8" s="174"/>
      <c r="FM8" s="174"/>
      <c r="FN8" s="174"/>
      <c r="FO8" s="174"/>
      <c r="FP8" s="174"/>
      <c r="FQ8" s="174"/>
      <c r="FR8" s="174"/>
      <c r="FS8" s="174"/>
      <c r="FT8" s="174"/>
      <c r="FU8" s="174"/>
      <c r="FV8" s="174"/>
      <c r="FW8" s="174"/>
      <c r="FX8" s="174"/>
      <c r="FY8" s="174"/>
      <c r="FZ8" s="174"/>
      <c r="GA8" s="174"/>
      <c r="GB8" s="174"/>
      <c r="GC8" s="174"/>
      <c r="GD8" s="174"/>
      <c r="GE8" s="174"/>
      <c r="GF8" s="174"/>
      <c r="GG8" s="174"/>
      <c r="GH8" s="174"/>
      <c r="GI8" s="174"/>
      <c r="GJ8" s="174"/>
      <c r="GK8" s="174"/>
      <c r="GL8" s="174"/>
      <c r="GM8" s="174"/>
      <c r="GN8" s="174"/>
      <c r="GO8" s="174"/>
      <c r="GP8" s="174"/>
      <c r="GQ8" s="174"/>
      <c r="GR8" s="174"/>
      <c r="GS8" s="174"/>
      <c r="GT8" s="174"/>
      <c r="GU8" s="174"/>
      <c r="GV8" s="174"/>
      <c r="GW8" s="174"/>
      <c r="GX8" s="174"/>
      <c r="GY8" s="174"/>
      <c r="GZ8" s="174"/>
      <c r="HA8" s="174"/>
      <c r="HB8" s="174"/>
      <c r="HC8" s="174"/>
      <c r="HD8" s="174"/>
      <c r="HE8" s="174"/>
      <c r="HF8" s="174"/>
      <c r="HG8" s="174"/>
      <c r="HH8" s="174"/>
      <c r="HI8" s="174"/>
      <c r="HJ8" s="174"/>
      <c r="HK8" s="174"/>
      <c r="HL8" s="174"/>
      <c r="HM8" s="174"/>
      <c r="HN8" s="174"/>
      <c r="HO8" s="174"/>
      <c r="HP8" s="174"/>
      <c r="HQ8" s="174"/>
      <c r="HR8" s="174"/>
      <c r="HS8" s="174"/>
      <c r="HT8" s="174"/>
      <c r="HU8" s="174"/>
      <c r="HV8" s="174"/>
      <c r="HW8" s="174"/>
      <c r="HX8" s="174"/>
      <c r="HY8" s="174"/>
      <c r="HZ8" s="174"/>
      <c r="IA8" s="174"/>
      <c r="IB8" s="174"/>
      <c r="IC8" s="174"/>
      <c r="ID8" s="174"/>
      <c r="IE8" s="174"/>
      <c r="IF8" s="174"/>
      <c r="IG8" s="174"/>
      <c r="IH8" s="174"/>
      <c r="II8" s="174"/>
      <c r="IJ8" s="174"/>
      <c r="IK8" s="174"/>
      <c r="IL8" s="174"/>
      <c r="IM8" s="174"/>
      <c r="IN8" s="174"/>
      <c r="IO8" s="174"/>
      <c r="IP8" s="174"/>
      <c r="IQ8" s="174"/>
      <c r="IR8" s="174"/>
      <c r="IS8" s="174"/>
      <c r="IT8" s="174"/>
      <c r="IU8" s="174"/>
      <c r="IV8" s="174"/>
      <c r="IW8" s="174"/>
    </row>
    <row r="9" spans="1:257" s="182" customFormat="1" ht="23.25" customHeight="1" x14ac:dyDescent="0.3">
      <c r="A9" s="193" t="s">
        <v>154</v>
      </c>
      <c r="B9" s="194"/>
      <c r="C9" s="195"/>
      <c r="D9" s="196"/>
      <c r="E9" s="197"/>
      <c r="F9" s="197"/>
      <c r="G9" s="197"/>
      <c r="H9" s="197"/>
      <c r="I9" s="197"/>
      <c r="J9" s="197"/>
      <c r="K9" s="198"/>
      <c r="L9" s="198"/>
      <c r="M9" s="196"/>
      <c r="N9" s="196"/>
      <c r="O9" s="196"/>
      <c r="P9" s="196"/>
      <c r="Q9" s="196"/>
      <c r="R9" s="196"/>
      <c r="S9" s="196"/>
      <c r="T9" s="196"/>
      <c r="U9" s="196"/>
      <c r="V9" s="196"/>
      <c r="W9" s="197"/>
      <c r="X9" s="197"/>
      <c r="Y9" s="197"/>
      <c r="Z9" s="197"/>
      <c r="AA9" s="191"/>
      <c r="AB9" s="199"/>
      <c r="AC9" s="199"/>
      <c r="AD9" s="199"/>
      <c r="AE9" s="199"/>
      <c r="AF9" s="199"/>
      <c r="AG9" s="199"/>
      <c r="AH9" s="199"/>
      <c r="AI9" s="200"/>
      <c r="AJ9" s="201"/>
      <c r="AK9" s="202"/>
      <c r="AL9" s="202"/>
      <c r="AM9" s="202"/>
      <c r="AN9" s="202"/>
      <c r="AO9" s="202"/>
      <c r="AP9" s="202"/>
      <c r="AQ9" s="202"/>
      <c r="AR9" s="202"/>
      <c r="AS9" s="202"/>
      <c r="AT9" s="202"/>
      <c r="AU9" s="202"/>
      <c r="AV9" s="202"/>
      <c r="AW9" s="202"/>
      <c r="AX9" s="202"/>
      <c r="AY9" s="202"/>
      <c r="AZ9" s="202"/>
      <c r="BA9" s="202"/>
      <c r="BB9" s="202"/>
      <c r="BC9" s="202"/>
      <c r="BD9" s="202"/>
      <c r="BE9" s="202"/>
      <c r="BF9" s="202"/>
      <c r="BG9" s="202"/>
      <c r="BH9" s="202"/>
      <c r="BI9" s="202"/>
      <c r="BJ9" s="202"/>
      <c r="BK9" s="202"/>
      <c r="BL9" s="202"/>
      <c r="BM9" s="202"/>
      <c r="BN9" s="202"/>
      <c r="BO9" s="202"/>
      <c r="BP9" s="202"/>
      <c r="BQ9" s="202"/>
      <c r="BR9" s="202"/>
      <c r="BS9" s="202"/>
      <c r="BT9" s="202"/>
      <c r="BU9" s="202"/>
      <c r="BV9" s="202"/>
      <c r="BW9" s="202"/>
      <c r="BX9" s="202"/>
      <c r="BY9" s="202"/>
      <c r="BZ9" s="202"/>
      <c r="CA9" s="202"/>
      <c r="CB9" s="202"/>
      <c r="CC9" s="202"/>
      <c r="CD9" s="202"/>
      <c r="CE9" s="202"/>
      <c r="CF9" s="202"/>
      <c r="CG9" s="202"/>
      <c r="CH9" s="202"/>
      <c r="CI9" s="202"/>
      <c r="CJ9" s="202"/>
      <c r="CK9" s="202"/>
      <c r="CL9" s="202"/>
      <c r="CM9" s="202"/>
      <c r="CN9" s="202"/>
      <c r="CO9" s="202"/>
      <c r="CP9" s="202"/>
      <c r="CQ9" s="202"/>
      <c r="CR9" s="202"/>
      <c r="CS9" s="202"/>
      <c r="CT9" s="202"/>
      <c r="CU9" s="202"/>
      <c r="CV9" s="202"/>
      <c r="CW9" s="202"/>
      <c r="CX9" s="202"/>
      <c r="CY9" s="202"/>
      <c r="CZ9" s="202"/>
      <c r="DA9" s="202"/>
      <c r="DB9" s="202"/>
      <c r="DC9" s="202"/>
      <c r="DD9" s="202"/>
      <c r="DE9" s="202"/>
      <c r="DF9" s="202"/>
      <c r="DG9" s="202"/>
      <c r="DH9" s="202"/>
      <c r="DI9" s="202"/>
      <c r="DJ9" s="202"/>
      <c r="DK9" s="202"/>
      <c r="DL9" s="202"/>
      <c r="DM9" s="202"/>
      <c r="DN9" s="202"/>
      <c r="DO9" s="202"/>
      <c r="DP9" s="202"/>
      <c r="DQ9" s="202"/>
      <c r="DR9" s="202"/>
      <c r="DS9" s="202"/>
      <c r="DT9" s="202"/>
      <c r="DU9" s="202"/>
      <c r="DV9" s="202"/>
      <c r="DW9" s="202"/>
      <c r="DX9" s="202"/>
      <c r="DY9" s="202"/>
      <c r="DZ9" s="202"/>
      <c r="EA9" s="202"/>
      <c r="EB9" s="202"/>
      <c r="EC9" s="202"/>
      <c r="ED9" s="202"/>
      <c r="EE9" s="202"/>
      <c r="EF9" s="202"/>
      <c r="EG9" s="202"/>
      <c r="EH9" s="202"/>
      <c r="EI9" s="202"/>
      <c r="EJ9" s="202"/>
      <c r="EK9" s="202"/>
      <c r="EL9" s="202"/>
      <c r="EM9" s="202"/>
      <c r="EN9" s="202"/>
      <c r="EO9" s="202"/>
      <c r="EP9" s="202"/>
      <c r="EQ9" s="202"/>
      <c r="ER9" s="202"/>
      <c r="ES9" s="202"/>
      <c r="ET9" s="202"/>
      <c r="EU9" s="202"/>
      <c r="EV9" s="202"/>
      <c r="EW9" s="202"/>
      <c r="EX9" s="202"/>
      <c r="EY9" s="202"/>
      <c r="EZ9" s="202"/>
      <c r="FA9" s="202"/>
      <c r="FB9" s="202"/>
      <c r="FC9" s="202"/>
      <c r="FD9" s="202"/>
      <c r="FE9" s="202"/>
      <c r="FF9" s="202"/>
      <c r="FG9" s="202"/>
      <c r="FH9" s="202"/>
      <c r="FI9" s="202"/>
      <c r="FJ9" s="202"/>
      <c r="FK9" s="202"/>
      <c r="FL9" s="202"/>
      <c r="FM9" s="202"/>
      <c r="FN9" s="202"/>
      <c r="FO9" s="202"/>
      <c r="FP9" s="202"/>
      <c r="FQ9" s="202"/>
      <c r="FR9" s="202"/>
      <c r="FS9" s="202"/>
      <c r="FT9" s="202"/>
      <c r="FU9" s="202"/>
      <c r="FV9" s="202"/>
      <c r="FW9" s="202"/>
      <c r="FX9" s="202"/>
      <c r="FY9" s="202"/>
      <c r="FZ9" s="202"/>
      <c r="GA9" s="202"/>
      <c r="GB9" s="202"/>
      <c r="GC9" s="202"/>
      <c r="GD9" s="202"/>
      <c r="GE9" s="202"/>
      <c r="GF9" s="202"/>
      <c r="GG9" s="202"/>
      <c r="GH9" s="202"/>
      <c r="GI9" s="202"/>
      <c r="GJ9" s="202"/>
      <c r="GK9" s="202"/>
      <c r="GL9" s="202"/>
      <c r="GM9" s="202"/>
      <c r="GN9" s="202"/>
      <c r="GO9" s="202"/>
      <c r="GP9" s="202"/>
      <c r="GQ9" s="202"/>
      <c r="GR9" s="202"/>
      <c r="GS9" s="202"/>
      <c r="GT9" s="202"/>
      <c r="GU9" s="202"/>
      <c r="GV9" s="202"/>
      <c r="GW9" s="202"/>
      <c r="GX9" s="202"/>
      <c r="GY9" s="202"/>
      <c r="GZ9" s="202"/>
      <c r="HA9" s="202"/>
      <c r="HB9" s="202"/>
      <c r="HC9" s="202"/>
      <c r="HD9" s="202"/>
      <c r="HE9" s="202"/>
      <c r="HF9" s="202"/>
      <c r="HG9" s="202"/>
      <c r="HH9" s="202"/>
      <c r="HI9" s="202"/>
      <c r="HJ9" s="202"/>
      <c r="HK9" s="202"/>
      <c r="HL9" s="202"/>
      <c r="HM9" s="202"/>
      <c r="HN9" s="202"/>
      <c r="HO9" s="202"/>
      <c r="HP9" s="202"/>
      <c r="HQ9" s="202"/>
      <c r="HR9" s="202"/>
      <c r="HS9" s="202"/>
      <c r="HT9" s="202"/>
      <c r="HU9" s="202"/>
      <c r="HV9" s="202"/>
      <c r="HW9" s="202"/>
      <c r="HX9" s="202"/>
      <c r="HY9" s="202"/>
      <c r="HZ9" s="202"/>
      <c r="IA9" s="202"/>
      <c r="IB9" s="202"/>
      <c r="IC9" s="202"/>
      <c r="ID9" s="202"/>
      <c r="IE9" s="202"/>
      <c r="IF9" s="202"/>
      <c r="IG9" s="202"/>
      <c r="IH9" s="202"/>
      <c r="II9" s="202"/>
      <c r="IJ9" s="202"/>
      <c r="IK9" s="202"/>
      <c r="IL9" s="202"/>
      <c r="IM9" s="202"/>
      <c r="IN9" s="202"/>
      <c r="IO9" s="202"/>
      <c r="IP9" s="202"/>
      <c r="IQ9" s="202"/>
      <c r="IR9" s="202"/>
      <c r="IS9" s="202"/>
      <c r="IT9" s="202"/>
      <c r="IU9" s="202"/>
      <c r="IV9" s="202"/>
      <c r="IW9" s="202"/>
    </row>
    <row r="10" spans="1:257" ht="23.25" customHeight="1" x14ac:dyDescent="0.3">
      <c r="A10" s="61">
        <f>IF(ISNUMBER(D10),COUNT($D$10:D10),"")</f>
        <v>1</v>
      </c>
      <c r="B10" s="20" t="str">
        <f>IF('Mức lương'!B8="","",'Mức lương'!B8)</f>
        <v>NGUYỄN KIM QUYẾT</v>
      </c>
      <c r="C10" s="20" t="str">
        <f>IF(B10="","",IFERROR(IF(INDEX('Mức lương'!$C$8:$C$62,MATCH($B10,'Mức lương'!$B$8:$B$62,0))="","",INDEX('Mức lương'!$C$8:$C$62,MATCH($B10,'Mức lương'!$B$8:$B$62,0))),""))</f>
        <v>Giám Đốc</v>
      </c>
      <c r="D10" s="203">
        <f>IF($B10="","",IFERROR(IF(INDEX('Mức lương'!$D$8:$D$62,MATCH($B10,'Mức lương'!$B$8:$B$62,0))="","",INDEX('Mức lương'!$D$8:$D$62,MATCH($B10,'Mức lương'!$B$8:$B$62,0))),""))</f>
        <v>6000000</v>
      </c>
      <c r="E10" s="203">
        <f>IF($D10="","",IFERROR(INDEX('Mức lương'!$F$8:$F$62,MATCH($B10,'Mức lương'!$B$8:$B$62,0))+0,0))</f>
        <v>3000000</v>
      </c>
      <c r="F10" s="203">
        <f>IF($D10="","",IFERROR(INDEX('Mức lương'!$G$8:$G$62,MATCH($B10,'Mức lương'!$B$8:$B$62,0))+0,0))</f>
        <v>1000000</v>
      </c>
      <c r="G10" s="203">
        <f>IF($D10="","",IFERROR(INDEX('Thưởng KPI+Định mức'!$D$5:$D$62,MATCH($B10,'Thưởng KPI+Định mức'!$B$5:$B$62,0))+0,0))</f>
        <v>0</v>
      </c>
      <c r="H10" s="203">
        <f>IF($D10="","",IFERROR(INDEX('Thưởng KPI+Định mức'!$E$5:$E$62,MATCH($B10,'Thưởng KPI+Định mức'!$B$5:$B$62,0))+0,0)+IFERROR(INDEX('Thưởng KPI+Định mức'!$F$5:$F$62,MATCH($B10,'Thưởng KPI+Định mức'!$B$5:$B$62,0))+0,0))</f>
        <v>0</v>
      </c>
      <c r="I10" s="203"/>
      <c r="J10" s="203">
        <f>IF($D10="","",IFERROR(INDEX('Mức lương'!$E$8:$E$62,MATCH($B10,'Mức lương'!$B$8:$B$62,0))+0,0))</f>
        <v>2000000</v>
      </c>
      <c r="K10" s="204">
        <f>IF($D10="","",IFERROR(INDEX(BCC!$AJ$9:$AJ$131,MATCH($B10,BCC!$B$9:$B$131,0))+SUM(INDEX(BCC!$AL$9:$AP$131,MATCH($B10,BCC!$B$9:$B$131,0),0)),0))</f>
        <v>27</v>
      </c>
      <c r="L10" s="204">
        <f>IF($D10="","",BCC!$AJ$5)</f>
        <v>26</v>
      </c>
      <c r="M10" s="205">
        <f t="shared" ref="M10:M12" si="0">IF($D10="","",ROUND((D10+E10+F10+J10)*AK10+AF10+H10+N(I10),0))</f>
        <v>12000000</v>
      </c>
      <c r="N10" s="206">
        <f>IF($D10="","",IFERROR(INDEX(BHXH!$D$5:$D$7,MATCH($B10,BHXH!$B$5:$B$7,0))+0,0))</f>
        <v>6000000</v>
      </c>
      <c r="O10" s="203">
        <f t="shared" ref="O10:Q10" si="1">IF($D10="","",$N10*O$7)</f>
        <v>1050000</v>
      </c>
      <c r="P10" s="203">
        <f t="shared" si="1"/>
        <v>180000</v>
      </c>
      <c r="Q10" s="203">
        <f t="shared" si="1"/>
        <v>60000</v>
      </c>
      <c r="R10" s="203">
        <f t="shared" ref="R10:R12" si="2">IF($D10="","",SUM(O10:Q10))</f>
        <v>1290000</v>
      </c>
      <c r="S10" s="203">
        <f t="shared" ref="S10:U10" si="3">IF($D10="","",$N10*S$7)</f>
        <v>480000</v>
      </c>
      <c r="T10" s="203">
        <f t="shared" si="3"/>
        <v>90000</v>
      </c>
      <c r="U10" s="203">
        <f t="shared" si="3"/>
        <v>60000</v>
      </c>
      <c r="V10" s="203">
        <f t="shared" ref="V10:V12" si="4">IF($D10="","",SUM(S10:U10))</f>
        <v>630000</v>
      </c>
      <c r="W10" s="203">
        <f>IF($D10="","",IFERROR(INDEX('Thuế TNCN'!$R$5:$R$62,MATCH($B10,'Thuế TNCN'!$B$5:$B$62,0))+0,0))</f>
        <v>0</v>
      </c>
      <c r="X10" s="203">
        <f t="shared" ref="X10:X12" si="5">IF($D10="","",G10)</f>
        <v>0</v>
      </c>
      <c r="Y10" s="203"/>
      <c r="Z10" s="207">
        <f t="shared" ref="Z10:Z12" si="6">IF($D10="","",M10-V10-W10-X10-N(Y10))</f>
        <v>11370000</v>
      </c>
      <c r="AA10" s="203">
        <f>IF($D10="","",IFERROR(INDEX(BCC!$AQ$9:$AQ$131,MATCH($B10,BCC!$B$9:$B$131,0)),0))</f>
        <v>0</v>
      </c>
      <c r="AB10" s="203">
        <f>IF($D10="","",IFERROR(INDEX(BCC!$AR$9:$AR$131,MATCH($B10,BCC!$B$9:$B$131,0)),0))</f>
        <v>0</v>
      </c>
      <c r="AC10" s="203">
        <f>IF($D10="","",IFERROR(INDEX(BCC!$AS$9:$AS$131,MATCH($B10,BCC!$B$9:$B$131,0)),0))</f>
        <v>0</v>
      </c>
      <c r="AD10" s="203">
        <f t="shared" ref="AD10:AD12" si="7">IF($D10="","",SUM(AA10:AC10))</f>
        <v>0</v>
      </c>
      <c r="AE10" s="203">
        <f t="shared" ref="AE10:AE12" si="8">IF($D10="","",IF(AND(C10="Nhân Viên bốc xếp",AD10&gt;0),(AA10*1.5+AB10*2+AC10*3)*AG10/AD10,0))</f>
        <v>0</v>
      </c>
      <c r="AF10" s="203">
        <f t="shared" ref="AF10:AF12" si="9">IF($D10="","",ROUND(AD10*AE10,0))</f>
        <v>0</v>
      </c>
      <c r="AG10" s="203">
        <f t="shared" ref="AG10:AG12" si="10">IF($D10="","",IF(L10=0,0,D10/(L10*8)))</f>
        <v>28846.153846153848</v>
      </c>
      <c r="AH10" s="203" t="e">
        <f t="shared" ref="AH10:AH12" si="11">IF($D10="","",AF10-AI10)</f>
        <v>#REF!</v>
      </c>
      <c r="AI10" s="203" t="e">
        <f>IF($D10="","",ROUND(AF10*'Thuế TNCN'!#REF!,0))</f>
        <v>#REF!</v>
      </c>
      <c r="AJ10" s="208"/>
      <c r="AK10" s="209">
        <f t="shared" ref="AK10:AK12" si="12">IF($D10="","",IF(L10=0,0,MIN(K10,L10)/L10))</f>
        <v>1</v>
      </c>
      <c r="AL10" s="210"/>
      <c r="AM10" s="210"/>
      <c r="AN10" s="210"/>
      <c r="AO10" s="210"/>
      <c r="AP10" s="210"/>
      <c r="AQ10" s="210"/>
      <c r="AR10" s="210"/>
      <c r="AS10" s="210"/>
      <c r="AT10" s="210"/>
      <c r="AU10" s="210"/>
      <c r="AV10" s="210"/>
      <c r="AW10" s="210"/>
      <c r="AX10" s="210"/>
      <c r="AY10" s="210"/>
      <c r="AZ10" s="210"/>
      <c r="BA10" s="210"/>
      <c r="BB10" s="210"/>
      <c r="BC10" s="210"/>
      <c r="BD10" s="210"/>
      <c r="BE10" s="210"/>
      <c r="BF10" s="210"/>
      <c r="BG10" s="210"/>
      <c r="BH10" s="210"/>
      <c r="BI10" s="210"/>
      <c r="BJ10" s="210"/>
      <c r="BK10" s="210"/>
      <c r="BL10" s="210"/>
      <c r="BM10" s="210"/>
      <c r="BN10" s="210"/>
      <c r="BO10" s="210"/>
      <c r="BP10" s="210"/>
      <c r="BQ10" s="210"/>
      <c r="BR10" s="210"/>
      <c r="BS10" s="210"/>
      <c r="BT10" s="210"/>
      <c r="BU10" s="210"/>
      <c r="BV10" s="210"/>
      <c r="BW10" s="210"/>
      <c r="BX10" s="210"/>
      <c r="BY10" s="210"/>
      <c r="BZ10" s="210"/>
      <c r="CA10" s="210"/>
      <c r="CB10" s="210"/>
      <c r="CC10" s="210"/>
      <c r="CD10" s="210"/>
      <c r="CE10" s="210"/>
      <c r="CF10" s="210"/>
      <c r="CG10" s="210"/>
      <c r="CH10" s="210"/>
      <c r="CI10" s="210"/>
      <c r="CJ10" s="210"/>
      <c r="CK10" s="210"/>
      <c r="CL10" s="210"/>
      <c r="CM10" s="210"/>
      <c r="CN10" s="210"/>
      <c r="CO10" s="210"/>
      <c r="CP10" s="210"/>
      <c r="CQ10" s="210"/>
      <c r="CR10" s="210"/>
      <c r="CS10" s="210"/>
      <c r="CT10" s="210"/>
      <c r="CU10" s="210"/>
      <c r="CV10" s="210"/>
      <c r="CW10" s="210"/>
      <c r="CX10" s="210"/>
      <c r="CY10" s="210"/>
      <c r="CZ10" s="210"/>
      <c r="DA10" s="210"/>
      <c r="DB10" s="210"/>
      <c r="DC10" s="210"/>
      <c r="DD10" s="210"/>
      <c r="DE10" s="210"/>
      <c r="DF10" s="210"/>
      <c r="DG10" s="210"/>
      <c r="DH10" s="210"/>
      <c r="DI10" s="210"/>
      <c r="DJ10" s="210"/>
      <c r="DK10" s="210"/>
      <c r="DL10" s="210"/>
      <c r="DM10" s="210"/>
      <c r="DN10" s="210"/>
      <c r="DO10" s="210"/>
      <c r="DP10" s="210"/>
      <c r="DQ10" s="210"/>
      <c r="DR10" s="210"/>
      <c r="DS10" s="210"/>
      <c r="DT10" s="210"/>
      <c r="DU10" s="210"/>
      <c r="DV10" s="210"/>
      <c r="DW10" s="210"/>
      <c r="DX10" s="210"/>
      <c r="DY10" s="210"/>
      <c r="DZ10" s="210"/>
      <c r="EA10" s="210"/>
      <c r="EB10" s="210"/>
      <c r="EC10" s="210"/>
      <c r="ED10" s="210"/>
      <c r="EE10" s="210"/>
      <c r="EF10" s="210"/>
      <c r="EG10" s="210"/>
      <c r="EH10" s="210"/>
      <c r="EI10" s="210"/>
      <c r="EJ10" s="210"/>
      <c r="EK10" s="210"/>
      <c r="EL10" s="210"/>
      <c r="EM10" s="210"/>
      <c r="EN10" s="210"/>
      <c r="EO10" s="210"/>
      <c r="EP10" s="210"/>
      <c r="EQ10" s="210"/>
      <c r="ER10" s="210"/>
      <c r="ES10" s="210"/>
      <c r="ET10" s="210"/>
      <c r="EU10" s="210"/>
      <c r="EV10" s="210"/>
      <c r="EW10" s="210"/>
      <c r="EX10" s="210"/>
      <c r="EY10" s="210"/>
      <c r="EZ10" s="210"/>
      <c r="FA10" s="210"/>
      <c r="FB10" s="210"/>
      <c r="FC10" s="210"/>
      <c r="FD10" s="210"/>
      <c r="FE10" s="210"/>
      <c r="FF10" s="210"/>
      <c r="FG10" s="210"/>
      <c r="FH10" s="210"/>
      <c r="FI10" s="210"/>
      <c r="FJ10" s="210"/>
      <c r="FK10" s="210"/>
      <c r="FL10" s="210"/>
      <c r="FM10" s="210"/>
      <c r="FN10" s="210"/>
      <c r="FO10" s="210"/>
      <c r="FP10" s="210"/>
      <c r="FQ10" s="210"/>
      <c r="FR10" s="210"/>
      <c r="FS10" s="210"/>
      <c r="FT10" s="210"/>
      <c r="FU10" s="210"/>
      <c r="FV10" s="210"/>
      <c r="FW10" s="210"/>
      <c r="FX10" s="210"/>
      <c r="FY10" s="210"/>
      <c r="FZ10" s="210"/>
      <c r="GA10" s="210"/>
      <c r="GB10" s="210"/>
      <c r="GC10" s="210"/>
      <c r="GD10" s="210"/>
      <c r="GE10" s="210"/>
      <c r="GF10" s="210"/>
      <c r="GG10" s="210"/>
      <c r="GH10" s="210"/>
      <c r="GI10" s="210"/>
      <c r="GJ10" s="210"/>
      <c r="GK10" s="210"/>
      <c r="GL10" s="210"/>
      <c r="GM10" s="210"/>
      <c r="GN10" s="210"/>
      <c r="GO10" s="210"/>
      <c r="GP10" s="210"/>
      <c r="GQ10" s="210"/>
      <c r="GR10" s="210"/>
      <c r="GS10" s="210"/>
      <c r="GT10" s="210"/>
      <c r="GU10" s="210"/>
      <c r="GV10" s="210"/>
      <c r="GW10" s="210"/>
      <c r="GX10" s="210"/>
      <c r="GY10" s="210"/>
      <c r="GZ10" s="210"/>
      <c r="HA10" s="210"/>
      <c r="HB10" s="210"/>
      <c r="HC10" s="210"/>
      <c r="HD10" s="210"/>
      <c r="HE10" s="210"/>
      <c r="HF10" s="210"/>
      <c r="HG10" s="210"/>
      <c r="HH10" s="210"/>
      <c r="HI10" s="210"/>
      <c r="HJ10" s="210"/>
      <c r="HK10" s="210"/>
      <c r="HL10" s="210"/>
      <c r="HM10" s="210"/>
      <c r="HN10" s="210"/>
      <c r="HO10" s="210"/>
      <c r="HP10" s="210"/>
      <c r="HQ10" s="210"/>
      <c r="HR10" s="210"/>
      <c r="HS10" s="210"/>
      <c r="HT10" s="210"/>
      <c r="HU10" s="210"/>
      <c r="HV10" s="210"/>
      <c r="HW10" s="210"/>
      <c r="HX10" s="210"/>
      <c r="HY10" s="210"/>
      <c r="HZ10" s="210"/>
      <c r="IA10" s="210"/>
      <c r="IB10" s="210"/>
      <c r="IC10" s="210"/>
      <c r="ID10" s="210"/>
      <c r="IE10" s="210"/>
      <c r="IF10" s="210"/>
      <c r="IG10" s="210"/>
      <c r="IH10" s="210"/>
      <c r="II10" s="210"/>
      <c r="IJ10" s="210"/>
      <c r="IK10" s="210"/>
      <c r="IL10" s="210"/>
      <c r="IM10" s="210"/>
      <c r="IN10" s="210"/>
      <c r="IO10" s="210"/>
      <c r="IP10" s="210"/>
      <c r="IQ10" s="210"/>
      <c r="IR10" s="210"/>
      <c r="IS10" s="210"/>
      <c r="IT10" s="210"/>
      <c r="IU10" s="210"/>
      <c r="IV10" s="210"/>
      <c r="IW10" s="210"/>
    </row>
    <row r="11" spans="1:257" ht="23.25" customHeight="1" x14ac:dyDescent="0.3">
      <c r="A11" s="61" t="str">
        <f>IF(ISNUMBER(D11),COUNT($D$10:D11),"")</f>
        <v/>
      </c>
      <c r="B11" s="195" t="str">
        <f>IF('Mức lương'!B9="","",'Mức lương'!B9)</f>
        <v>BỘ PHẬN LÁI XE</v>
      </c>
      <c r="C11" s="20" t="str">
        <f>IF(B11="","",IFERROR(IF(INDEX('Mức lương'!$C$8:$C$62,MATCH($B11,'Mức lương'!$B$8:$B$62,0))="","",INDEX('Mức lương'!$C$8:$C$62,MATCH($B11,'Mức lương'!$B$8:$B$62,0))),""))</f>
        <v/>
      </c>
      <c r="D11" s="203" t="str">
        <f>IF($B11="","",IFERROR(IF(INDEX('Mức lương'!$D$8:$D$62,MATCH($B11,'Mức lương'!$B$8:$B$62,0))="","",INDEX('Mức lương'!$D$8:$D$62,MATCH($B11,'Mức lương'!$B$8:$B$62,0))),""))</f>
        <v/>
      </c>
      <c r="E11" s="203" t="str">
        <f>IF($D11="","",IFERROR(INDEX('Mức lương'!$F$8:$F$62,MATCH($B11,'Mức lương'!$B$8:$B$62,0))+0,0))</f>
        <v/>
      </c>
      <c r="F11" s="203" t="str">
        <f>IF($D11="","",IFERROR(INDEX('Mức lương'!$G$8:$G$62,MATCH($B11,'Mức lương'!$B$8:$B$62,0))+0,0))</f>
        <v/>
      </c>
      <c r="G11" s="203" t="str">
        <f>IF($D11="","",IFERROR(INDEX('Thưởng KPI+Định mức'!$D$5:$D$62,MATCH($B11,'Thưởng KPI+Định mức'!$B$5:$B$62,0))+0,0))</f>
        <v/>
      </c>
      <c r="H11" s="203" t="str">
        <f>IF($D11="","",IFERROR(INDEX('Thưởng KPI+Định mức'!$E$5:$E$62,MATCH($B11,'Thưởng KPI+Định mức'!$B$5:$B$62,0))+0,0)+IFERROR(INDEX('Thưởng KPI+Định mức'!$F$5:$F$62,MATCH($B11,'Thưởng KPI+Định mức'!$B$5:$B$62,0))+0,0))</f>
        <v/>
      </c>
      <c r="I11" s="203"/>
      <c r="J11" s="203" t="str">
        <f>IF($D11="","",IFERROR(INDEX('Mức lương'!$E$8:$E$62,MATCH($B11,'Mức lương'!$B$8:$B$62,0))+0,0))</f>
        <v/>
      </c>
      <c r="K11" s="204" t="str">
        <f>IF($D11="","",IFERROR(INDEX(BCC!$AJ$9:$AJ$131,MATCH($B11,BCC!$B$9:$B$131,0))+SUM(INDEX(BCC!$AL$9:$AP$131,MATCH($B11,BCC!$B$9:$B$131,0),0)),0))</f>
        <v/>
      </c>
      <c r="L11" s="204" t="str">
        <f>IF($D11="","",BCC!$AJ$5)</f>
        <v/>
      </c>
      <c r="M11" s="205" t="str">
        <f t="shared" si="0"/>
        <v/>
      </c>
      <c r="N11" s="206" t="str">
        <f>IF($D11="","",IFERROR(INDEX(BHXH!$D$5:$D$7,MATCH($B11,BHXH!$B$5:$B$7,0))+0,0))</f>
        <v/>
      </c>
      <c r="O11" s="203" t="str">
        <f t="shared" ref="O11:Q12" si="13">IF($D11="","",$N11*O$7)</f>
        <v/>
      </c>
      <c r="P11" s="203" t="str">
        <f t="shared" si="13"/>
        <v/>
      </c>
      <c r="Q11" s="203" t="str">
        <f t="shared" si="13"/>
        <v/>
      </c>
      <c r="R11" s="203" t="str">
        <f t="shared" si="2"/>
        <v/>
      </c>
      <c r="S11" s="203" t="str">
        <f t="shared" ref="S11:U12" si="14">IF($D11="","",$N11*S$7)</f>
        <v/>
      </c>
      <c r="T11" s="203" t="str">
        <f t="shared" si="14"/>
        <v/>
      </c>
      <c r="U11" s="203" t="str">
        <f t="shared" si="14"/>
        <v/>
      </c>
      <c r="V11" s="203" t="str">
        <f t="shared" si="4"/>
        <v/>
      </c>
      <c r="W11" s="203" t="str">
        <f>IF($D11="","",IFERROR(INDEX('Thuế TNCN'!$R$5:$R$62,MATCH($B11,'Thuế TNCN'!$B$5:$B$62,0))+0,0))</f>
        <v/>
      </c>
      <c r="X11" s="203" t="str">
        <f t="shared" si="5"/>
        <v/>
      </c>
      <c r="Y11" s="203"/>
      <c r="Z11" s="207" t="str">
        <f t="shared" si="6"/>
        <v/>
      </c>
      <c r="AA11" s="203" t="str">
        <f>IF($D11="","",IFERROR(INDEX(BCC!$AQ$9:$AQ$131,MATCH($B11,BCC!$B$9:$B$131,0)),0))</f>
        <v/>
      </c>
      <c r="AB11" s="203" t="str">
        <f>IF($D11="","",IFERROR(INDEX(BCC!$AR$9:$AR$131,MATCH($B11,BCC!$B$9:$B$131,0)),0))</f>
        <v/>
      </c>
      <c r="AC11" s="203" t="str">
        <f>IF($D11="","",IFERROR(INDEX(BCC!$AS$9:$AS$131,MATCH($B11,BCC!$B$9:$B$131,0)),0))</f>
        <v/>
      </c>
      <c r="AD11" s="203" t="str">
        <f t="shared" si="7"/>
        <v/>
      </c>
      <c r="AE11" s="203" t="str">
        <f t="shared" si="8"/>
        <v/>
      </c>
      <c r="AF11" s="203" t="str">
        <f t="shared" si="9"/>
        <v/>
      </c>
      <c r="AG11" s="203" t="str">
        <f t="shared" si="10"/>
        <v/>
      </c>
      <c r="AH11" s="203" t="str">
        <f t="shared" si="11"/>
        <v/>
      </c>
      <c r="AI11" s="203" t="str">
        <f>IF($D11="","",ROUND(AF11*'Thuế TNCN'!#REF!,0))</f>
        <v/>
      </c>
      <c r="AJ11" s="208"/>
      <c r="AK11" s="209" t="str">
        <f t="shared" si="12"/>
        <v/>
      </c>
      <c r="AL11" s="210"/>
      <c r="AM11" s="210"/>
      <c r="AN11" s="210"/>
      <c r="AO11" s="210"/>
      <c r="AP11" s="210"/>
      <c r="AQ11" s="210"/>
      <c r="AR11" s="210"/>
      <c r="AS11" s="210"/>
      <c r="AT11" s="210"/>
      <c r="AU11" s="210"/>
      <c r="AV11" s="210"/>
      <c r="AW11" s="210"/>
      <c r="AX11" s="210"/>
      <c r="AY11" s="210"/>
      <c r="AZ11" s="210"/>
      <c r="BA11" s="210"/>
      <c r="BB11" s="210"/>
      <c r="BC11" s="210"/>
      <c r="BD11" s="210"/>
      <c r="BE11" s="210"/>
      <c r="BF11" s="210"/>
      <c r="BG11" s="210"/>
      <c r="BH11" s="210"/>
      <c r="BI11" s="210"/>
      <c r="BJ11" s="210"/>
      <c r="BK11" s="210"/>
      <c r="BL11" s="210"/>
      <c r="BM11" s="210"/>
      <c r="BN11" s="210"/>
      <c r="BO11" s="210"/>
      <c r="BP11" s="210"/>
      <c r="BQ11" s="210"/>
      <c r="BR11" s="210"/>
      <c r="BS11" s="210"/>
      <c r="BT11" s="210"/>
      <c r="BU11" s="210"/>
      <c r="BV11" s="210"/>
      <c r="BW11" s="210"/>
      <c r="BX11" s="210"/>
      <c r="BY11" s="210"/>
      <c r="BZ11" s="210"/>
      <c r="CA11" s="210"/>
      <c r="CB11" s="210"/>
      <c r="CC11" s="210"/>
      <c r="CD11" s="210"/>
      <c r="CE11" s="210"/>
      <c r="CF11" s="210"/>
      <c r="CG11" s="210"/>
      <c r="CH11" s="210"/>
      <c r="CI11" s="210"/>
      <c r="CJ11" s="210"/>
      <c r="CK11" s="210"/>
      <c r="CL11" s="210"/>
      <c r="CM11" s="210"/>
      <c r="CN11" s="210"/>
      <c r="CO11" s="210"/>
      <c r="CP11" s="210"/>
      <c r="CQ11" s="210"/>
      <c r="CR11" s="210"/>
      <c r="CS11" s="210"/>
      <c r="CT11" s="210"/>
      <c r="CU11" s="210"/>
      <c r="CV11" s="210"/>
      <c r="CW11" s="210"/>
      <c r="CX11" s="210"/>
      <c r="CY11" s="210"/>
      <c r="CZ11" s="210"/>
      <c r="DA11" s="210"/>
      <c r="DB11" s="210"/>
      <c r="DC11" s="210"/>
      <c r="DD11" s="210"/>
      <c r="DE11" s="210"/>
      <c r="DF11" s="210"/>
      <c r="DG11" s="210"/>
      <c r="DH11" s="210"/>
      <c r="DI11" s="210"/>
      <c r="DJ11" s="210"/>
      <c r="DK11" s="210"/>
      <c r="DL11" s="210"/>
      <c r="DM11" s="210"/>
      <c r="DN11" s="210"/>
      <c r="DO11" s="210"/>
      <c r="DP11" s="210"/>
      <c r="DQ11" s="210"/>
      <c r="DR11" s="210"/>
      <c r="DS11" s="210"/>
      <c r="DT11" s="210"/>
      <c r="DU11" s="210"/>
      <c r="DV11" s="210"/>
      <c r="DW11" s="210"/>
      <c r="DX11" s="210"/>
      <c r="DY11" s="210"/>
      <c r="DZ11" s="210"/>
      <c r="EA11" s="210"/>
      <c r="EB11" s="210"/>
      <c r="EC11" s="210"/>
      <c r="ED11" s="210"/>
      <c r="EE11" s="210"/>
      <c r="EF11" s="210"/>
      <c r="EG11" s="210"/>
      <c r="EH11" s="210"/>
      <c r="EI11" s="210"/>
      <c r="EJ11" s="210"/>
      <c r="EK11" s="210"/>
      <c r="EL11" s="210"/>
      <c r="EM11" s="210"/>
      <c r="EN11" s="210"/>
      <c r="EO11" s="210"/>
      <c r="EP11" s="210"/>
      <c r="EQ11" s="210"/>
      <c r="ER11" s="210"/>
      <c r="ES11" s="210"/>
      <c r="ET11" s="210"/>
      <c r="EU11" s="210"/>
      <c r="EV11" s="210"/>
      <c r="EW11" s="210"/>
      <c r="EX11" s="210"/>
      <c r="EY11" s="210"/>
      <c r="EZ11" s="210"/>
      <c r="FA11" s="210"/>
      <c r="FB11" s="210"/>
      <c r="FC11" s="210"/>
      <c r="FD11" s="210"/>
      <c r="FE11" s="210"/>
      <c r="FF11" s="210"/>
      <c r="FG11" s="210"/>
      <c r="FH11" s="210"/>
      <c r="FI11" s="210"/>
      <c r="FJ11" s="210"/>
      <c r="FK11" s="210"/>
      <c r="FL11" s="210"/>
      <c r="FM11" s="210"/>
      <c r="FN11" s="210"/>
      <c r="FO11" s="210"/>
      <c r="FP11" s="210"/>
      <c r="FQ11" s="210"/>
      <c r="FR11" s="210"/>
      <c r="FS11" s="210"/>
      <c r="FT11" s="210"/>
      <c r="FU11" s="210"/>
      <c r="FV11" s="210"/>
      <c r="FW11" s="210"/>
      <c r="FX11" s="210"/>
      <c r="FY11" s="210"/>
      <c r="FZ11" s="210"/>
      <c r="GA11" s="210"/>
      <c r="GB11" s="210"/>
      <c r="GC11" s="210"/>
      <c r="GD11" s="210"/>
      <c r="GE11" s="210"/>
      <c r="GF11" s="210"/>
      <c r="GG11" s="210"/>
      <c r="GH11" s="210"/>
      <c r="GI11" s="210"/>
      <c r="GJ11" s="210"/>
      <c r="GK11" s="210"/>
      <c r="GL11" s="210"/>
      <c r="GM11" s="210"/>
      <c r="GN11" s="210"/>
      <c r="GO11" s="210"/>
      <c r="GP11" s="210"/>
      <c r="GQ11" s="210"/>
      <c r="GR11" s="210"/>
      <c r="GS11" s="210"/>
      <c r="GT11" s="210"/>
      <c r="GU11" s="210"/>
      <c r="GV11" s="210"/>
      <c r="GW11" s="210"/>
      <c r="GX11" s="210"/>
      <c r="GY11" s="210"/>
      <c r="GZ11" s="210"/>
      <c r="HA11" s="210"/>
      <c r="HB11" s="210"/>
      <c r="HC11" s="210"/>
      <c r="HD11" s="210"/>
      <c r="HE11" s="210"/>
      <c r="HF11" s="210"/>
      <c r="HG11" s="210"/>
      <c r="HH11" s="210"/>
      <c r="HI11" s="210"/>
      <c r="HJ11" s="210"/>
      <c r="HK11" s="210"/>
      <c r="HL11" s="210"/>
      <c r="HM11" s="210"/>
      <c r="HN11" s="210"/>
      <c r="HO11" s="210"/>
      <c r="HP11" s="210"/>
      <c r="HQ11" s="210"/>
      <c r="HR11" s="210"/>
      <c r="HS11" s="210"/>
      <c r="HT11" s="210"/>
      <c r="HU11" s="210"/>
      <c r="HV11" s="210"/>
      <c r="HW11" s="210"/>
      <c r="HX11" s="210"/>
      <c r="HY11" s="210"/>
      <c r="HZ11" s="210"/>
      <c r="IA11" s="210"/>
      <c r="IB11" s="210"/>
      <c r="IC11" s="210"/>
      <c r="ID11" s="210"/>
      <c r="IE11" s="210"/>
      <c r="IF11" s="210"/>
      <c r="IG11" s="210"/>
      <c r="IH11" s="210"/>
      <c r="II11" s="210"/>
      <c r="IJ11" s="210"/>
      <c r="IK11" s="210"/>
      <c r="IL11" s="210"/>
      <c r="IM11" s="210"/>
      <c r="IN11" s="210"/>
      <c r="IO11" s="210"/>
      <c r="IP11" s="210"/>
      <c r="IQ11" s="210"/>
      <c r="IR11" s="210"/>
      <c r="IS11" s="210"/>
      <c r="IT11" s="210"/>
      <c r="IU11" s="210"/>
      <c r="IV11" s="210"/>
      <c r="IW11" s="210"/>
    </row>
    <row r="12" spans="1:257" ht="23.25" customHeight="1" x14ac:dyDescent="0.3">
      <c r="A12" s="61">
        <f>IF(ISNUMBER(D12),COUNT($D$10:D12),"")</f>
        <v>2</v>
      </c>
      <c r="B12" s="20" t="str">
        <f>IF('Mức lương'!B10="","",'Mức lương'!B10)</f>
        <v>NGUYỄN VĂN LỢI</v>
      </c>
      <c r="C12" s="20" t="str">
        <f>IF(B12="","",IFERROR(IF(INDEX('Mức lương'!$C$8:$C$62,MATCH($B12,'Mức lương'!$B$8:$B$62,0))="","",INDEX('Mức lương'!$C$8:$C$62,MATCH($B12,'Mức lương'!$B$8:$B$62,0))),""))</f>
        <v>Tài xế xe tải</v>
      </c>
      <c r="D12" s="203">
        <f>IF($B12="","",IFERROR(IF(INDEX('Mức lương'!$D$8:$D$62,MATCH($B12,'Mức lương'!$B$8:$B$62,0))="","",INDEX('Mức lương'!$D$8:$D$62,MATCH($B12,'Mức lương'!$B$8:$B$62,0))),""))</f>
        <v>5500000</v>
      </c>
      <c r="E12" s="203">
        <f>IF($D12="","",IFERROR(INDEX('Mức lương'!$F$8:$F$62,MATCH($B12,'Mức lương'!$B$8:$B$62,0))+0,0))</f>
        <v>500000</v>
      </c>
      <c r="F12" s="203">
        <f>IF($D12="","",IFERROR(INDEX('Mức lương'!$G$8:$G$62,MATCH($B12,'Mức lương'!$B$8:$B$62,0))+0,0))</f>
        <v>1000000</v>
      </c>
      <c r="G12" s="203">
        <f>IF($D12="","",IFERROR(INDEX('Thưởng KPI+Định mức'!$D$5:$D$62,MATCH($B12,'Thưởng KPI+Định mức'!$B$5:$B$62,0))+0,0))</f>
        <v>10000000</v>
      </c>
      <c r="H12" s="203">
        <f>IF($D12="","",IFERROR(INDEX('Thưởng KPI+Định mức'!$E$5:$E$62,MATCH($B12,'Thưởng KPI+Định mức'!$B$5:$B$62,0))+0,0)+IFERROR(INDEX('Thưởng KPI+Định mức'!$F$5:$F$62,MATCH($B12,'Thưởng KPI+Định mức'!$B$5:$B$62,0))+0,0))</f>
        <v>11525473.4</v>
      </c>
      <c r="I12" s="203"/>
      <c r="J12" s="203">
        <f>IF($D12="","",IFERROR(INDEX('Mức lương'!$E$8:$E$62,MATCH($B12,'Mức lương'!$B$8:$B$62,0))+0,0))</f>
        <v>500000</v>
      </c>
      <c r="K12" s="204">
        <f>IF($D12="","",IFERROR(INDEX(BCC!$AJ$9:$AJ$131,MATCH($B12,BCC!$B$9:$B$131,0))+SUM(INDEX(BCC!$AL$9:$AP$131,MATCH($B12,BCC!$B$9:$B$131,0),0)),0))</f>
        <v>17</v>
      </c>
      <c r="L12" s="204">
        <f>IF($D12="","",BCC!$AJ$5)</f>
        <v>26</v>
      </c>
      <c r="M12" s="205">
        <f t="shared" si="0"/>
        <v>16429320</v>
      </c>
      <c r="N12" s="206">
        <f>IF($D12="","",IFERROR(INDEX(BHXH!$D$5:$D$7,MATCH($B12,BHXH!$B$5:$B$7,0))+0,0))</f>
        <v>5500000</v>
      </c>
      <c r="O12" s="203">
        <f t="shared" si="13"/>
        <v>962499.99999999988</v>
      </c>
      <c r="P12" s="203">
        <f t="shared" si="13"/>
        <v>165000</v>
      </c>
      <c r="Q12" s="203">
        <f t="shared" si="13"/>
        <v>55000</v>
      </c>
      <c r="R12" s="203">
        <f t="shared" si="2"/>
        <v>1182500</v>
      </c>
      <c r="S12" s="203">
        <f t="shared" si="14"/>
        <v>440000</v>
      </c>
      <c r="T12" s="203">
        <f t="shared" si="14"/>
        <v>82500</v>
      </c>
      <c r="U12" s="203">
        <f t="shared" si="14"/>
        <v>55000</v>
      </c>
      <c r="V12" s="203">
        <f t="shared" si="4"/>
        <v>577500</v>
      </c>
      <c r="W12" s="203">
        <f>IF($D12="","",IFERROR(INDEX('Thuế TNCN'!$R$5:$R$62,MATCH($B12,'Thuế TNCN'!$B$5:$B$62,0))+0,0))</f>
        <v>0</v>
      </c>
      <c r="X12" s="203">
        <f t="shared" si="5"/>
        <v>10000000</v>
      </c>
      <c r="Y12" s="203"/>
      <c r="Z12" s="207">
        <f t="shared" si="6"/>
        <v>5851820</v>
      </c>
      <c r="AA12" s="203">
        <f>IF($D12="","",IFERROR(INDEX(BCC!$AQ$9:$AQ$131,MATCH($B12,BCC!$B$9:$B$131,0)),0))</f>
        <v>0</v>
      </c>
      <c r="AB12" s="203">
        <f>IF($D12="","",IFERROR(INDEX(BCC!$AR$9:$AR$131,MATCH($B12,BCC!$B$9:$B$131,0)),0))</f>
        <v>0</v>
      </c>
      <c r="AC12" s="203">
        <f>IF($D12="","",IFERROR(INDEX(BCC!$AS$9:$AS$131,MATCH($B12,BCC!$B$9:$B$131,0)),0))</f>
        <v>0</v>
      </c>
      <c r="AD12" s="203">
        <f t="shared" si="7"/>
        <v>0</v>
      </c>
      <c r="AE12" s="203">
        <f t="shared" si="8"/>
        <v>0</v>
      </c>
      <c r="AF12" s="203">
        <f t="shared" si="9"/>
        <v>0</v>
      </c>
      <c r="AG12" s="203">
        <f t="shared" si="10"/>
        <v>26442.307692307691</v>
      </c>
      <c r="AH12" s="203" t="e">
        <f t="shared" si="11"/>
        <v>#REF!</v>
      </c>
      <c r="AI12" s="203" t="e">
        <f>IF($D12="","",ROUND(AF12*'Thuế TNCN'!#REF!,0))</f>
        <v>#REF!</v>
      </c>
      <c r="AJ12" s="208"/>
      <c r="AK12" s="209">
        <f t="shared" si="12"/>
        <v>0.65384615384615385</v>
      </c>
      <c r="AL12" s="210"/>
      <c r="AM12" s="210"/>
      <c r="AN12" s="210"/>
      <c r="AO12" s="210"/>
      <c r="AP12" s="210"/>
      <c r="AQ12" s="210"/>
      <c r="AR12" s="210"/>
      <c r="AS12" s="210"/>
      <c r="AT12" s="210"/>
      <c r="AU12" s="210"/>
      <c r="AV12" s="210"/>
      <c r="AW12" s="210"/>
      <c r="AX12" s="210"/>
      <c r="AY12" s="210"/>
      <c r="AZ12" s="210"/>
      <c r="BA12" s="210"/>
      <c r="BB12" s="210"/>
      <c r="BC12" s="210"/>
      <c r="BD12" s="210"/>
      <c r="BE12" s="210"/>
      <c r="BF12" s="210"/>
      <c r="BG12" s="210"/>
      <c r="BH12" s="210"/>
      <c r="BI12" s="210"/>
      <c r="BJ12" s="210"/>
      <c r="BK12" s="210"/>
      <c r="BL12" s="210"/>
      <c r="BM12" s="210"/>
      <c r="BN12" s="210"/>
      <c r="BO12" s="210"/>
      <c r="BP12" s="210"/>
      <c r="BQ12" s="210"/>
      <c r="BR12" s="210"/>
      <c r="BS12" s="210"/>
      <c r="BT12" s="210"/>
      <c r="BU12" s="210"/>
      <c r="BV12" s="210"/>
      <c r="BW12" s="210"/>
      <c r="BX12" s="210"/>
      <c r="BY12" s="210"/>
      <c r="BZ12" s="210"/>
      <c r="CA12" s="210"/>
      <c r="CB12" s="210"/>
      <c r="CC12" s="210"/>
      <c r="CD12" s="210"/>
      <c r="CE12" s="210"/>
      <c r="CF12" s="210"/>
      <c r="CG12" s="210"/>
      <c r="CH12" s="210"/>
      <c r="CI12" s="210"/>
      <c r="CJ12" s="210"/>
      <c r="CK12" s="210"/>
      <c r="CL12" s="210"/>
      <c r="CM12" s="210"/>
      <c r="CN12" s="210"/>
      <c r="CO12" s="210"/>
      <c r="CP12" s="210"/>
      <c r="CQ12" s="210"/>
      <c r="CR12" s="210"/>
      <c r="CS12" s="210"/>
      <c r="CT12" s="210"/>
      <c r="CU12" s="210"/>
      <c r="CV12" s="210"/>
      <c r="CW12" s="210"/>
      <c r="CX12" s="210"/>
      <c r="CY12" s="210"/>
      <c r="CZ12" s="210"/>
      <c r="DA12" s="210"/>
      <c r="DB12" s="210"/>
      <c r="DC12" s="210"/>
      <c r="DD12" s="210"/>
      <c r="DE12" s="210"/>
      <c r="DF12" s="210"/>
      <c r="DG12" s="210"/>
      <c r="DH12" s="210"/>
      <c r="DI12" s="210"/>
      <c r="DJ12" s="210"/>
      <c r="DK12" s="210"/>
      <c r="DL12" s="210"/>
      <c r="DM12" s="210"/>
      <c r="DN12" s="210"/>
      <c r="DO12" s="210"/>
      <c r="DP12" s="210"/>
      <c r="DQ12" s="210"/>
      <c r="DR12" s="210"/>
      <c r="DS12" s="210"/>
      <c r="DT12" s="210"/>
      <c r="DU12" s="210"/>
      <c r="DV12" s="210"/>
      <c r="DW12" s="210"/>
      <c r="DX12" s="210"/>
      <c r="DY12" s="210"/>
      <c r="DZ12" s="210"/>
      <c r="EA12" s="210"/>
      <c r="EB12" s="210"/>
      <c r="EC12" s="210"/>
      <c r="ED12" s="210"/>
      <c r="EE12" s="210"/>
      <c r="EF12" s="210"/>
      <c r="EG12" s="210"/>
      <c r="EH12" s="210"/>
      <c r="EI12" s="210"/>
      <c r="EJ12" s="210"/>
      <c r="EK12" s="210"/>
      <c r="EL12" s="210"/>
      <c r="EM12" s="210"/>
      <c r="EN12" s="210"/>
      <c r="EO12" s="210"/>
      <c r="EP12" s="210"/>
      <c r="EQ12" s="210"/>
      <c r="ER12" s="210"/>
      <c r="ES12" s="210"/>
      <c r="ET12" s="210"/>
      <c r="EU12" s="210"/>
      <c r="EV12" s="210"/>
      <c r="EW12" s="210"/>
      <c r="EX12" s="210"/>
      <c r="EY12" s="210"/>
      <c r="EZ12" s="210"/>
      <c r="FA12" s="210"/>
      <c r="FB12" s="210"/>
      <c r="FC12" s="210"/>
      <c r="FD12" s="210"/>
      <c r="FE12" s="210"/>
      <c r="FF12" s="210"/>
      <c r="FG12" s="210"/>
      <c r="FH12" s="210"/>
      <c r="FI12" s="210"/>
      <c r="FJ12" s="210"/>
      <c r="FK12" s="210"/>
      <c r="FL12" s="210"/>
      <c r="FM12" s="210"/>
      <c r="FN12" s="210"/>
      <c r="FO12" s="210"/>
      <c r="FP12" s="210"/>
      <c r="FQ12" s="210"/>
      <c r="FR12" s="210"/>
      <c r="FS12" s="210"/>
      <c r="FT12" s="210"/>
      <c r="FU12" s="210"/>
      <c r="FV12" s="210"/>
      <c r="FW12" s="210"/>
      <c r="FX12" s="210"/>
      <c r="FY12" s="210"/>
      <c r="FZ12" s="210"/>
      <c r="GA12" s="210"/>
      <c r="GB12" s="210"/>
      <c r="GC12" s="210"/>
      <c r="GD12" s="210"/>
      <c r="GE12" s="210"/>
      <c r="GF12" s="210"/>
      <c r="GG12" s="210"/>
      <c r="GH12" s="210"/>
      <c r="GI12" s="210"/>
      <c r="GJ12" s="210"/>
      <c r="GK12" s="210"/>
      <c r="GL12" s="210"/>
      <c r="GM12" s="210"/>
      <c r="GN12" s="210"/>
      <c r="GO12" s="210"/>
      <c r="GP12" s="210"/>
      <c r="GQ12" s="210"/>
      <c r="GR12" s="210"/>
      <c r="GS12" s="210"/>
      <c r="GT12" s="210"/>
      <c r="GU12" s="210"/>
      <c r="GV12" s="210"/>
      <c r="GW12" s="210"/>
      <c r="GX12" s="210"/>
      <c r="GY12" s="210"/>
      <c r="GZ12" s="210"/>
      <c r="HA12" s="210"/>
      <c r="HB12" s="210"/>
      <c r="HC12" s="210"/>
      <c r="HD12" s="210"/>
      <c r="HE12" s="210"/>
      <c r="HF12" s="210"/>
      <c r="HG12" s="210"/>
      <c r="HH12" s="210"/>
      <c r="HI12" s="210"/>
      <c r="HJ12" s="210"/>
      <c r="HK12" s="210"/>
      <c r="HL12" s="210"/>
      <c r="HM12" s="210"/>
      <c r="HN12" s="210"/>
      <c r="HO12" s="210"/>
      <c r="HP12" s="210"/>
      <c r="HQ12" s="210"/>
      <c r="HR12" s="210"/>
      <c r="HS12" s="210"/>
      <c r="HT12" s="210"/>
      <c r="HU12" s="210"/>
      <c r="HV12" s="210"/>
      <c r="HW12" s="210"/>
      <c r="HX12" s="210"/>
      <c r="HY12" s="210"/>
      <c r="HZ12" s="210"/>
      <c r="IA12" s="210"/>
      <c r="IB12" s="210"/>
      <c r="IC12" s="210"/>
      <c r="ID12" s="210"/>
      <c r="IE12" s="210"/>
      <c r="IF12" s="210"/>
      <c r="IG12" s="210"/>
      <c r="IH12" s="210"/>
      <c r="II12" s="210"/>
      <c r="IJ12" s="210"/>
      <c r="IK12" s="210"/>
      <c r="IL12" s="210"/>
      <c r="IM12" s="210"/>
      <c r="IN12" s="210"/>
      <c r="IO12" s="210"/>
      <c r="IP12" s="210"/>
      <c r="IQ12" s="210"/>
      <c r="IR12" s="210"/>
      <c r="IS12" s="210"/>
      <c r="IT12" s="210"/>
      <c r="IU12" s="210"/>
      <c r="IV12" s="210"/>
      <c r="IW12" s="210"/>
    </row>
    <row r="13" spans="1:257" s="211" customFormat="1" ht="23.25" customHeight="1" x14ac:dyDescent="0.3">
      <c r="A13" s="213"/>
      <c r="B13" s="16" t="s">
        <v>193</v>
      </c>
      <c r="C13" s="16"/>
      <c r="D13" s="206">
        <f t="shared" ref="D13:K13" si="15">SUBTOTAL(9,D10:D12)</f>
        <v>11500000</v>
      </c>
      <c r="E13" s="206">
        <f t="shared" si="15"/>
        <v>3500000</v>
      </c>
      <c r="F13" s="206">
        <f t="shared" si="15"/>
        <v>2000000</v>
      </c>
      <c r="G13" s="206">
        <f t="shared" si="15"/>
        <v>10000000</v>
      </c>
      <c r="H13" s="206">
        <f t="shared" si="15"/>
        <v>11525473.4</v>
      </c>
      <c r="I13" s="206">
        <f t="shared" si="15"/>
        <v>0</v>
      </c>
      <c r="J13" s="206">
        <f t="shared" si="15"/>
        <v>2500000</v>
      </c>
      <c r="K13" s="206">
        <f t="shared" si="15"/>
        <v>44</v>
      </c>
      <c r="L13" s="206"/>
      <c r="M13" s="206">
        <f t="shared" ref="M13:AD13" si="16">SUBTOTAL(9,M10:M12)</f>
        <v>28429320</v>
      </c>
      <c r="N13" s="206">
        <f t="shared" si="16"/>
        <v>11500000</v>
      </c>
      <c r="O13" s="206">
        <f t="shared" si="16"/>
        <v>2012500</v>
      </c>
      <c r="P13" s="206">
        <f t="shared" si="16"/>
        <v>345000</v>
      </c>
      <c r="Q13" s="206">
        <f t="shared" si="16"/>
        <v>115000</v>
      </c>
      <c r="R13" s="206">
        <f t="shared" si="16"/>
        <v>2472500</v>
      </c>
      <c r="S13" s="206">
        <f t="shared" si="16"/>
        <v>920000</v>
      </c>
      <c r="T13" s="206">
        <f t="shared" si="16"/>
        <v>172500</v>
      </c>
      <c r="U13" s="206">
        <f t="shared" si="16"/>
        <v>115000</v>
      </c>
      <c r="V13" s="206">
        <f t="shared" si="16"/>
        <v>1207500</v>
      </c>
      <c r="W13" s="206">
        <f t="shared" si="16"/>
        <v>0</v>
      </c>
      <c r="X13" s="206">
        <f t="shared" si="16"/>
        <v>10000000</v>
      </c>
      <c r="Y13" s="206">
        <f t="shared" si="16"/>
        <v>0</v>
      </c>
      <c r="Z13" s="206">
        <f t="shared" si="16"/>
        <v>17221820</v>
      </c>
      <c r="AA13" s="206">
        <f t="shared" si="16"/>
        <v>0</v>
      </c>
      <c r="AB13" s="206">
        <f t="shared" si="16"/>
        <v>0</v>
      </c>
      <c r="AC13" s="206">
        <f t="shared" si="16"/>
        <v>0</v>
      </c>
      <c r="AD13" s="206">
        <f t="shared" si="16"/>
        <v>0</v>
      </c>
      <c r="AE13" s="206"/>
      <c r="AF13" s="206">
        <f>SUBTOTAL(9,AF10:AF12)</f>
        <v>0</v>
      </c>
      <c r="AG13" s="206"/>
      <c r="AH13" s="206" t="e">
        <f>SUBTOTAL(9,AH10:AH12)</f>
        <v>#REF!</v>
      </c>
      <c r="AI13" s="206" t="e">
        <f>SUBTOTAL(9,AI10:AI12)</f>
        <v>#REF!</v>
      </c>
      <c r="AJ13" s="214"/>
      <c r="AK13" s="29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c r="BS13" s="181"/>
      <c r="BT13" s="181"/>
      <c r="BU13" s="181"/>
      <c r="BV13" s="181"/>
      <c r="BW13" s="181"/>
      <c r="BX13" s="181"/>
      <c r="BY13" s="181"/>
      <c r="BZ13" s="181"/>
      <c r="CA13" s="181"/>
      <c r="CB13" s="181"/>
      <c r="CC13" s="181"/>
      <c r="CD13" s="181"/>
      <c r="CE13" s="181"/>
      <c r="CF13" s="181"/>
      <c r="CG13" s="181"/>
      <c r="CH13" s="181"/>
      <c r="CI13" s="181"/>
      <c r="CJ13" s="181"/>
      <c r="CK13" s="181"/>
      <c r="CL13" s="181"/>
      <c r="CM13" s="181"/>
      <c r="CN13" s="181"/>
      <c r="CO13" s="181"/>
      <c r="CP13" s="181"/>
      <c r="CQ13" s="181"/>
      <c r="CR13" s="181"/>
      <c r="CS13" s="181"/>
      <c r="CT13" s="181"/>
      <c r="CU13" s="181"/>
      <c r="CV13" s="181"/>
      <c r="CW13" s="181"/>
      <c r="CX13" s="181"/>
      <c r="CY13" s="181"/>
      <c r="CZ13" s="181"/>
      <c r="DA13" s="181"/>
      <c r="DB13" s="181"/>
      <c r="DC13" s="181"/>
      <c r="DD13" s="181"/>
      <c r="DE13" s="181"/>
      <c r="DF13" s="181"/>
      <c r="DG13" s="181"/>
      <c r="DH13" s="181"/>
      <c r="DI13" s="181"/>
      <c r="DJ13" s="181"/>
      <c r="DK13" s="181"/>
      <c r="DL13" s="181"/>
      <c r="DM13" s="181"/>
      <c r="DN13" s="181"/>
      <c r="DO13" s="181"/>
      <c r="DP13" s="181"/>
      <c r="DQ13" s="181"/>
      <c r="DR13" s="181"/>
      <c r="DS13" s="181"/>
      <c r="DT13" s="181"/>
      <c r="DU13" s="181"/>
      <c r="DV13" s="181"/>
      <c r="DW13" s="181"/>
      <c r="DX13" s="181"/>
      <c r="DY13" s="181"/>
      <c r="DZ13" s="181"/>
      <c r="EA13" s="181"/>
      <c r="EB13" s="181"/>
      <c r="EC13" s="181"/>
      <c r="ED13" s="181"/>
      <c r="EE13" s="181"/>
      <c r="EF13" s="181"/>
      <c r="EG13" s="181"/>
      <c r="EH13" s="181"/>
      <c r="EI13" s="181"/>
      <c r="EJ13" s="181"/>
      <c r="EK13" s="181"/>
      <c r="EL13" s="181"/>
      <c r="EM13" s="181"/>
      <c r="EN13" s="181"/>
      <c r="EO13" s="181"/>
      <c r="EP13" s="181"/>
      <c r="EQ13" s="181"/>
      <c r="ER13" s="181"/>
      <c r="ES13" s="181"/>
      <c r="ET13" s="181"/>
      <c r="EU13" s="181"/>
      <c r="EV13" s="181"/>
      <c r="EW13" s="181"/>
      <c r="EX13" s="181"/>
      <c r="EY13" s="181"/>
      <c r="EZ13" s="181"/>
      <c r="FA13" s="181"/>
      <c r="FB13" s="181"/>
      <c r="FC13" s="181"/>
      <c r="FD13" s="181"/>
      <c r="FE13" s="181"/>
      <c r="FF13" s="181"/>
      <c r="FG13" s="181"/>
      <c r="FH13" s="181"/>
      <c r="FI13" s="181"/>
      <c r="FJ13" s="181"/>
      <c r="FK13" s="181"/>
      <c r="FL13" s="181"/>
      <c r="FM13" s="181"/>
      <c r="FN13" s="181"/>
      <c r="FO13" s="181"/>
      <c r="FP13" s="181"/>
      <c r="FQ13" s="181"/>
      <c r="FR13" s="181"/>
      <c r="FS13" s="181"/>
      <c r="FT13" s="181"/>
      <c r="FU13" s="181"/>
      <c r="FV13" s="181"/>
      <c r="FW13" s="181"/>
      <c r="FX13" s="181"/>
      <c r="FY13" s="181"/>
      <c r="FZ13" s="181"/>
      <c r="GA13" s="181"/>
      <c r="GB13" s="181"/>
      <c r="GC13" s="181"/>
      <c r="GD13" s="181"/>
      <c r="GE13" s="181"/>
      <c r="GF13" s="181"/>
      <c r="GG13" s="181"/>
      <c r="GH13" s="181"/>
      <c r="GI13" s="181"/>
      <c r="GJ13" s="181"/>
      <c r="GK13" s="181"/>
      <c r="GL13" s="181"/>
      <c r="GM13" s="181"/>
      <c r="GN13" s="181"/>
      <c r="GO13" s="181"/>
      <c r="GP13" s="181"/>
      <c r="GQ13" s="181"/>
      <c r="GR13" s="181"/>
      <c r="GS13" s="181"/>
      <c r="GT13" s="181"/>
      <c r="GU13" s="181"/>
      <c r="GV13" s="181"/>
      <c r="GW13" s="181"/>
      <c r="GX13" s="181"/>
      <c r="GY13" s="181"/>
      <c r="GZ13" s="181"/>
      <c r="HA13" s="181"/>
      <c r="HB13" s="181"/>
      <c r="HC13" s="181"/>
      <c r="HD13" s="181"/>
      <c r="HE13" s="181"/>
      <c r="HF13" s="181"/>
      <c r="HG13" s="181"/>
      <c r="HH13" s="181"/>
      <c r="HI13" s="181"/>
      <c r="HJ13" s="181"/>
      <c r="HK13" s="181"/>
      <c r="HL13" s="181"/>
      <c r="HM13" s="181"/>
      <c r="HN13" s="181"/>
      <c r="HO13" s="181"/>
      <c r="HP13" s="181"/>
      <c r="HQ13" s="181"/>
      <c r="HR13" s="181"/>
      <c r="HS13" s="181"/>
      <c r="HT13" s="181"/>
      <c r="HU13" s="181"/>
      <c r="HV13" s="181"/>
      <c r="HW13" s="181"/>
      <c r="HX13" s="181"/>
      <c r="HY13" s="181"/>
      <c r="HZ13" s="181"/>
      <c r="IA13" s="181"/>
      <c r="IB13" s="181"/>
      <c r="IC13" s="181"/>
      <c r="ID13" s="181"/>
      <c r="IE13" s="181"/>
      <c r="IF13" s="181"/>
      <c r="IG13" s="181"/>
      <c r="IH13" s="181"/>
      <c r="II13" s="181"/>
      <c r="IJ13" s="181"/>
      <c r="IK13" s="181"/>
      <c r="IL13" s="181"/>
      <c r="IM13" s="181"/>
      <c r="IN13" s="181"/>
      <c r="IO13" s="181"/>
      <c r="IP13" s="181"/>
      <c r="IQ13" s="181"/>
      <c r="IR13" s="181"/>
      <c r="IS13" s="181"/>
      <c r="IT13" s="181"/>
      <c r="IU13" s="181"/>
      <c r="IV13" s="181"/>
      <c r="IW13" s="181"/>
    </row>
    <row r="14" spans="1:257" ht="21" customHeight="1" x14ac:dyDescent="0.25">
      <c r="U14" s="335" t="s">
        <v>194</v>
      </c>
      <c r="V14" s="335"/>
      <c r="W14" s="335"/>
      <c r="X14" s="335"/>
      <c r="Y14" s="335"/>
      <c r="Z14" s="335"/>
      <c r="AA14" s="170"/>
      <c r="AJ14" s="170"/>
    </row>
    <row r="15" spans="1:257" s="212" customFormat="1" ht="21" customHeight="1" x14ac:dyDescent="0.3">
      <c r="A15" s="215"/>
      <c r="B15" s="336" t="s">
        <v>130</v>
      </c>
      <c r="C15" s="336"/>
      <c r="D15" s="336"/>
      <c r="E15" s="216"/>
      <c r="F15" s="216"/>
      <c r="G15" s="337" t="s">
        <v>129</v>
      </c>
      <c r="H15" s="337"/>
      <c r="I15" s="337"/>
      <c r="J15" s="337"/>
      <c r="K15" s="217"/>
      <c r="L15" s="217"/>
      <c r="M15" s="218"/>
      <c r="N15" s="338" t="s">
        <v>128</v>
      </c>
      <c r="O15" s="338"/>
      <c r="P15" s="338"/>
      <c r="Q15" s="338"/>
      <c r="R15" s="338"/>
      <c r="S15" s="338"/>
      <c r="T15" s="216"/>
      <c r="U15" s="334" t="s">
        <v>195</v>
      </c>
      <c r="V15" s="334"/>
      <c r="W15" s="334"/>
      <c r="X15" s="334"/>
      <c r="Y15" s="334"/>
      <c r="Z15" s="334"/>
      <c r="AA15" s="170"/>
      <c r="AB15" s="220"/>
      <c r="AC15" s="220"/>
      <c r="AD15" s="220"/>
      <c r="AE15" s="220"/>
      <c r="AF15" s="220"/>
      <c r="AG15" s="220"/>
      <c r="AH15" s="220"/>
      <c r="AI15" s="218"/>
      <c r="AK15" s="220"/>
      <c r="AL15" s="220"/>
      <c r="AM15" s="220"/>
      <c r="AN15" s="220"/>
      <c r="AO15" s="220"/>
      <c r="AP15" s="220"/>
      <c r="AQ15" s="220"/>
      <c r="AR15" s="220"/>
      <c r="AS15" s="220"/>
      <c r="AT15" s="220"/>
      <c r="AU15" s="220"/>
      <c r="AV15" s="220"/>
      <c r="AW15" s="220"/>
      <c r="AX15" s="220"/>
      <c r="AY15" s="220"/>
      <c r="AZ15" s="220"/>
      <c r="BA15" s="220"/>
      <c r="BB15" s="220"/>
      <c r="BC15" s="220"/>
      <c r="BD15" s="220"/>
      <c r="BE15" s="220"/>
      <c r="BF15" s="220"/>
      <c r="BG15" s="220"/>
      <c r="BH15" s="220"/>
      <c r="BI15" s="220"/>
      <c r="BJ15" s="220"/>
      <c r="BK15" s="220"/>
      <c r="BL15" s="220"/>
      <c r="BM15" s="220"/>
      <c r="BN15" s="220"/>
      <c r="BO15" s="220"/>
      <c r="BP15" s="220"/>
      <c r="BQ15" s="220"/>
      <c r="BR15" s="220"/>
      <c r="BS15" s="220"/>
      <c r="BT15" s="220"/>
      <c r="BU15" s="220"/>
      <c r="BV15" s="220"/>
      <c r="BW15" s="220"/>
      <c r="BX15" s="220"/>
      <c r="BY15" s="220"/>
      <c r="BZ15" s="220"/>
      <c r="CA15" s="220"/>
      <c r="CB15" s="220"/>
      <c r="CC15" s="220"/>
      <c r="CD15" s="220"/>
      <c r="CE15" s="220"/>
      <c r="CF15" s="220"/>
      <c r="CG15" s="220"/>
      <c r="CH15" s="220"/>
      <c r="CI15" s="220"/>
      <c r="CJ15" s="220"/>
      <c r="CK15" s="220"/>
      <c r="CL15" s="220"/>
      <c r="CM15" s="220"/>
      <c r="CN15" s="220"/>
      <c r="CO15" s="220"/>
      <c r="CP15" s="220"/>
      <c r="CQ15" s="220"/>
      <c r="CR15" s="220"/>
      <c r="CS15" s="220"/>
      <c r="CT15" s="220"/>
      <c r="CU15" s="220"/>
      <c r="CV15" s="220"/>
      <c r="CW15" s="220"/>
      <c r="CX15" s="220"/>
      <c r="CY15" s="220"/>
      <c r="CZ15" s="220"/>
      <c r="DA15" s="220"/>
      <c r="DB15" s="220"/>
      <c r="DC15" s="220"/>
      <c r="DD15" s="220"/>
      <c r="DE15" s="220"/>
      <c r="DF15" s="220"/>
      <c r="DG15" s="220"/>
      <c r="DH15" s="220"/>
      <c r="DI15" s="220"/>
      <c r="DJ15" s="220"/>
      <c r="DK15" s="220"/>
      <c r="DL15" s="220"/>
      <c r="DM15" s="220"/>
      <c r="DN15" s="220"/>
      <c r="DO15" s="220"/>
      <c r="DP15" s="220"/>
      <c r="DQ15" s="220"/>
      <c r="DR15" s="220"/>
      <c r="DS15" s="220"/>
      <c r="DT15" s="220"/>
      <c r="DU15" s="220"/>
      <c r="DV15" s="220"/>
      <c r="DW15" s="220"/>
      <c r="DX15" s="220"/>
      <c r="DY15" s="220"/>
      <c r="DZ15" s="220"/>
      <c r="EA15" s="220"/>
      <c r="EB15" s="220"/>
      <c r="EC15" s="220"/>
      <c r="ED15" s="220"/>
      <c r="EE15" s="220"/>
      <c r="EF15" s="220"/>
      <c r="EG15" s="220"/>
      <c r="EH15" s="220"/>
      <c r="EI15" s="220"/>
      <c r="EJ15" s="220"/>
      <c r="EK15" s="220"/>
      <c r="EL15" s="220"/>
      <c r="EM15" s="220"/>
      <c r="EN15" s="220"/>
      <c r="EO15" s="220"/>
      <c r="EP15" s="220"/>
      <c r="EQ15" s="220"/>
      <c r="ER15" s="220"/>
      <c r="ES15" s="220"/>
      <c r="ET15" s="220"/>
      <c r="EU15" s="220"/>
      <c r="EV15" s="220"/>
      <c r="EW15" s="220"/>
      <c r="EX15" s="220"/>
      <c r="EY15" s="220"/>
      <c r="EZ15" s="220"/>
      <c r="FA15" s="220"/>
      <c r="FB15" s="220"/>
      <c r="FC15" s="220"/>
      <c r="FD15" s="220"/>
      <c r="FE15" s="220"/>
      <c r="FF15" s="220"/>
      <c r="FG15" s="220"/>
      <c r="FH15" s="220"/>
      <c r="FI15" s="220"/>
      <c r="FJ15" s="220"/>
      <c r="FK15" s="220"/>
      <c r="FL15" s="220"/>
      <c r="FM15" s="220"/>
      <c r="FN15" s="220"/>
      <c r="FO15" s="220"/>
      <c r="FP15" s="220"/>
      <c r="FQ15" s="220"/>
      <c r="FR15" s="220"/>
      <c r="FS15" s="220"/>
      <c r="FT15" s="220"/>
      <c r="FU15" s="220"/>
      <c r="FV15" s="220"/>
      <c r="FW15" s="220"/>
      <c r="FX15" s="220"/>
      <c r="FY15" s="220"/>
      <c r="FZ15" s="220"/>
      <c r="GA15" s="220"/>
      <c r="GB15" s="220"/>
      <c r="GC15" s="220"/>
      <c r="GD15" s="220"/>
      <c r="GE15" s="220"/>
      <c r="GF15" s="220"/>
      <c r="GG15" s="220"/>
      <c r="GH15" s="220"/>
      <c r="GI15" s="220"/>
      <c r="GJ15" s="220"/>
      <c r="GK15" s="220"/>
      <c r="GL15" s="220"/>
      <c r="GM15" s="220"/>
      <c r="GN15" s="220"/>
      <c r="GO15" s="220"/>
      <c r="GP15" s="220"/>
      <c r="GQ15" s="220"/>
      <c r="GR15" s="220"/>
      <c r="GS15" s="220"/>
      <c r="GT15" s="220"/>
      <c r="GU15" s="220"/>
      <c r="GV15" s="220"/>
      <c r="GW15" s="220"/>
      <c r="GX15" s="220"/>
      <c r="GY15" s="220"/>
      <c r="GZ15" s="220"/>
      <c r="HA15" s="220"/>
      <c r="HB15" s="220"/>
      <c r="HC15" s="220"/>
      <c r="HD15" s="220"/>
      <c r="HE15" s="220"/>
      <c r="HF15" s="220"/>
      <c r="HG15" s="220"/>
      <c r="HH15" s="220"/>
      <c r="HI15" s="220"/>
      <c r="HJ15" s="220"/>
      <c r="HK15" s="220"/>
      <c r="HL15" s="220"/>
      <c r="HM15" s="220"/>
      <c r="HN15" s="220"/>
      <c r="HO15" s="220"/>
      <c r="HP15" s="220"/>
      <c r="HQ15" s="220"/>
      <c r="HR15" s="220"/>
      <c r="HS15" s="220"/>
      <c r="HT15" s="220"/>
      <c r="HU15" s="220"/>
      <c r="HV15" s="220"/>
      <c r="HW15" s="220"/>
      <c r="HX15" s="220"/>
      <c r="HY15" s="220"/>
      <c r="HZ15" s="220"/>
      <c r="IA15" s="220"/>
      <c r="IB15" s="220"/>
      <c r="IC15" s="220"/>
      <c r="ID15" s="220"/>
      <c r="IE15" s="220"/>
      <c r="IF15" s="220"/>
      <c r="IG15" s="220"/>
      <c r="IH15" s="220"/>
      <c r="II15" s="220"/>
      <c r="IJ15" s="220"/>
      <c r="IK15" s="220"/>
      <c r="IL15" s="220"/>
      <c r="IM15" s="220"/>
      <c r="IN15" s="220"/>
      <c r="IO15" s="220"/>
      <c r="IP15" s="220"/>
      <c r="IQ15" s="220"/>
      <c r="IR15" s="220"/>
      <c r="IS15" s="220"/>
      <c r="IT15" s="220"/>
      <c r="IU15" s="220"/>
      <c r="IV15" s="220"/>
      <c r="IW15" s="220"/>
    </row>
    <row r="16" spans="1:257" s="212" customFormat="1" ht="38.25" customHeight="1" x14ac:dyDescent="0.3">
      <c r="A16" s="221"/>
      <c r="C16" s="222"/>
      <c r="D16" s="223"/>
      <c r="E16" s="223"/>
      <c r="F16" s="223"/>
      <c r="G16" s="223"/>
      <c r="H16" s="223"/>
      <c r="I16" s="223"/>
      <c r="J16" s="223"/>
      <c r="K16" s="219"/>
      <c r="L16" s="219"/>
      <c r="M16" s="223"/>
      <c r="N16" s="223"/>
      <c r="O16" s="223"/>
      <c r="P16" s="223"/>
      <c r="Q16" s="223"/>
      <c r="R16" s="223"/>
      <c r="S16" s="223"/>
      <c r="T16" s="223"/>
      <c r="U16" s="223"/>
      <c r="V16" s="223"/>
      <c r="W16" s="223"/>
      <c r="X16" s="223"/>
      <c r="Y16" s="223"/>
      <c r="Z16" s="223"/>
      <c r="AA16" s="224"/>
      <c r="AI16" s="225"/>
    </row>
    <row r="17" spans="1:35" s="212" customFormat="1" ht="24" customHeight="1" x14ac:dyDescent="0.3">
      <c r="A17" s="221"/>
      <c r="C17" s="222"/>
      <c r="D17" s="223"/>
      <c r="E17" s="223"/>
      <c r="F17" s="223"/>
      <c r="G17" s="223"/>
      <c r="H17" s="223"/>
      <c r="I17" s="223"/>
      <c r="J17" s="223"/>
      <c r="K17" s="219"/>
      <c r="L17" s="219"/>
      <c r="M17" s="223"/>
      <c r="N17" s="223"/>
      <c r="O17" s="223"/>
      <c r="P17" s="223"/>
      <c r="Q17" s="223"/>
      <c r="R17" s="223"/>
      <c r="S17" s="223"/>
      <c r="T17" s="223"/>
      <c r="U17" s="223"/>
      <c r="V17" s="223"/>
      <c r="W17" s="223"/>
      <c r="X17" s="223"/>
      <c r="Y17" s="223"/>
      <c r="Z17" s="223"/>
      <c r="AA17" s="224"/>
      <c r="AI17" s="225"/>
    </row>
    <row r="18" spans="1:35" s="212" customFormat="1" ht="21" customHeight="1" x14ac:dyDescent="0.3">
      <c r="A18" s="221"/>
      <c r="C18" s="222"/>
      <c r="D18" s="223"/>
      <c r="E18" s="223"/>
      <c r="F18" s="223"/>
      <c r="G18" s="223"/>
      <c r="H18" s="223"/>
      <c r="I18" s="223"/>
      <c r="J18" s="223"/>
      <c r="K18" s="219"/>
      <c r="L18" s="219"/>
      <c r="M18" s="223"/>
      <c r="N18" s="223"/>
      <c r="O18" s="223"/>
      <c r="P18" s="223"/>
      <c r="Q18" s="223"/>
      <c r="R18" s="223"/>
      <c r="S18" s="223"/>
      <c r="T18" s="223"/>
      <c r="U18" s="223"/>
      <c r="V18" s="223"/>
      <c r="W18" s="223"/>
      <c r="X18" s="223"/>
      <c r="Y18" s="223"/>
      <c r="Z18" s="223"/>
      <c r="AA18" s="224"/>
      <c r="AI18" s="225"/>
    </row>
    <row r="19" spans="1:35" s="212" customFormat="1" ht="21" customHeight="1" x14ac:dyDescent="0.3">
      <c r="A19" s="221"/>
      <c r="C19" s="222"/>
      <c r="D19" s="223"/>
      <c r="E19" s="223"/>
      <c r="F19" s="223"/>
      <c r="G19" s="223"/>
      <c r="H19" s="223"/>
      <c r="I19" s="223"/>
      <c r="J19" s="223"/>
      <c r="K19" s="219"/>
      <c r="L19" s="219"/>
      <c r="M19" s="223"/>
      <c r="N19" s="223"/>
      <c r="O19" s="223"/>
      <c r="P19" s="223"/>
      <c r="Q19" s="223"/>
      <c r="R19" s="223"/>
      <c r="S19" s="223"/>
      <c r="T19" s="223"/>
      <c r="U19" s="223"/>
      <c r="V19" s="223"/>
      <c r="W19" s="223"/>
      <c r="X19" s="223"/>
      <c r="Y19" s="223"/>
      <c r="Z19" s="223"/>
      <c r="AA19" s="224"/>
      <c r="AI19" s="225"/>
    </row>
    <row r="20" spans="1:35" s="212" customFormat="1" ht="21" customHeight="1" x14ac:dyDescent="0.3">
      <c r="A20" s="221"/>
      <c r="B20" s="333"/>
      <c r="C20" s="333"/>
      <c r="D20" s="333"/>
      <c r="E20" s="223"/>
      <c r="F20" s="223"/>
      <c r="G20" s="334"/>
      <c r="H20" s="334"/>
      <c r="I20" s="334"/>
      <c r="J20" s="334"/>
      <c r="K20" s="334"/>
      <c r="L20" s="334"/>
      <c r="M20" s="334"/>
      <c r="N20" s="334"/>
      <c r="O20" s="334"/>
      <c r="P20" s="334"/>
      <c r="Q20" s="334"/>
      <c r="R20" s="334"/>
      <c r="S20" s="334"/>
      <c r="T20" s="223"/>
      <c r="U20" s="334"/>
      <c r="V20" s="334"/>
      <c r="W20" s="334"/>
      <c r="X20" s="334"/>
      <c r="Y20" s="334"/>
      <c r="Z20" s="334"/>
      <c r="AA20" s="224"/>
      <c r="AI20" s="225"/>
    </row>
  </sheetData>
  <autoFilter ref="A6:IW15" xr:uid="{00000000-0009-0000-0000-000006000000}"/>
  <mergeCells count="36">
    <mergeCell ref="B20:D20"/>
    <mergeCell ref="G20:M20"/>
    <mergeCell ref="N20:S20"/>
    <mergeCell ref="U20:Z20"/>
    <mergeCell ref="AK5:AK6"/>
    <mergeCell ref="U14:Z14"/>
    <mergeCell ref="B15:D15"/>
    <mergeCell ref="G15:J15"/>
    <mergeCell ref="N15:S15"/>
    <mergeCell ref="U15:Z15"/>
    <mergeCell ref="AF5:AF6"/>
    <mergeCell ref="AG5:AG6"/>
    <mergeCell ref="AH5:AH6"/>
    <mergeCell ref="AI5:AI6"/>
    <mergeCell ref="AJ5:AJ6"/>
    <mergeCell ref="AA5:AA6"/>
    <mergeCell ref="AC5:AC6"/>
    <mergeCell ref="AD5:AD6"/>
    <mergeCell ref="AE5:AE6"/>
    <mergeCell ref="A1:Z1"/>
    <mergeCell ref="A2:Z2"/>
    <mergeCell ref="A3:Z3"/>
    <mergeCell ref="A5:A6"/>
    <mergeCell ref="B5:B6"/>
    <mergeCell ref="C5:C6"/>
    <mergeCell ref="D5:D6"/>
    <mergeCell ref="E5:J5"/>
    <mergeCell ref="K5:K6"/>
    <mergeCell ref="L5:L6"/>
    <mergeCell ref="M5:M6"/>
    <mergeCell ref="N5:N6"/>
    <mergeCell ref="O5:R5"/>
    <mergeCell ref="S5:V5"/>
    <mergeCell ref="W5:Y5"/>
    <mergeCell ref="Z5:Z6"/>
    <mergeCell ref="AB5:AB6"/>
  </mergeCells>
  <pageMargins left="0.17013888888888901" right="0.17013888888888901" top="0.209722222222222" bottom="0.25972222222222202" header="0.511811023622047" footer="0.511811023622047"/>
  <pageSetup paperSize="9" scale="30" orientation="landscape" horizontalDpi="300" verticalDpi="30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I36"/>
  <sheetViews>
    <sheetView showGridLines="0" zoomScale="85" zoomScaleNormal="85" workbookViewId="0">
      <selection activeCell="B4" sqref="B4"/>
    </sheetView>
  </sheetViews>
  <sheetFormatPr defaultColWidth="9.109375" defaultRowHeight="18" x14ac:dyDescent="0.35"/>
  <cols>
    <col min="1" max="1" width="23.88671875" style="119" customWidth="1"/>
    <col min="2" max="2" width="28" style="119" customWidth="1"/>
    <col min="3" max="3" width="30.33203125" style="119" customWidth="1"/>
    <col min="4" max="4" width="22.33203125" style="119" customWidth="1"/>
    <col min="5" max="5" width="30.88671875" style="119" customWidth="1"/>
    <col min="6" max="6" width="27.6640625" style="119" customWidth="1"/>
    <col min="7" max="7" width="9.109375" style="119"/>
    <col min="8" max="8" width="13.6640625" style="119" customWidth="1"/>
    <col min="9" max="9" width="13.44140625" style="119" customWidth="1"/>
    <col min="10" max="16384" width="9.109375" style="119"/>
  </cols>
  <sheetData>
    <row r="1" spans="1:6" s="226" customFormat="1" ht="31.5" customHeight="1" x14ac:dyDescent="0.3">
      <c r="A1" s="344" t="s">
        <v>2016</v>
      </c>
      <c r="B1" s="344"/>
      <c r="C1" s="344"/>
      <c r="D1" s="344"/>
      <c r="E1" s="344"/>
      <c r="F1" s="344"/>
    </row>
    <row r="2" spans="1:6" s="226" customFormat="1" ht="24.75" customHeight="1" x14ac:dyDescent="0.3">
      <c r="A2" s="345" t="s">
        <v>2017</v>
      </c>
      <c r="B2" s="345"/>
      <c r="C2" s="345"/>
      <c r="D2" s="345"/>
      <c r="E2" s="345"/>
      <c r="F2" s="345"/>
    </row>
    <row r="3" spans="1:6" ht="35.25" customHeight="1" x14ac:dyDescent="0.35">
      <c r="A3" s="346" t="str">
        <f>"PHIẾU LƯƠNG THÁNG "&amp;BCC!O4&amp;"/"&amp;BCC!O5</f>
        <v>PHIẾU LƯƠNG THÁNG 10/2026</v>
      </c>
      <c r="B3" s="346"/>
      <c r="C3" s="346"/>
      <c r="D3" s="346"/>
      <c r="E3" s="346"/>
      <c r="F3" s="346"/>
    </row>
    <row r="4" spans="1:6" ht="35.25" customHeight="1" x14ac:dyDescent="0.35">
      <c r="A4" s="227" t="s">
        <v>24</v>
      </c>
      <c r="B4" s="228" t="s">
        <v>2020</v>
      </c>
      <c r="D4" s="229" t="s">
        <v>196</v>
      </c>
      <c r="E4" s="340">
        <f>IF($B$4="","",IFERROR(INDEX('Bảng lương'!$L$10:$L$12,MATCH($B$4,'Bảng lương'!$B$10:$B$12,0)),0))</f>
        <v>26</v>
      </c>
      <c r="F4" s="340"/>
    </row>
    <row r="5" spans="1:6" ht="35.25" customHeight="1" x14ac:dyDescent="0.35">
      <c r="A5" s="227" t="s">
        <v>197</v>
      </c>
      <c r="B5" s="228" t="str">
        <f>IF($B$4="","",IFERROR(INDEX('Bảng lương'!$C$10:$C$12,MATCH($B$4,'Bảng lương'!$B$10:$B$12,0)),""))</f>
        <v>Giám Đốc</v>
      </c>
      <c r="D5" s="229" t="s">
        <v>110</v>
      </c>
      <c r="E5" s="340">
        <f>IF($B$4="","",IFERROR(INDEX('Bảng lương'!$N$10:$N$12,MATCH($B$4,'Bảng lương'!$B$10:$B$12,0)),0))</f>
        <v>6000000</v>
      </c>
      <c r="F5" s="340"/>
    </row>
    <row r="6" spans="1:6" ht="35.25" customHeight="1" x14ac:dyDescent="0.35">
      <c r="D6" s="229" t="s">
        <v>198</v>
      </c>
      <c r="E6" s="340">
        <f>IF($B$4="","",IFERROR(INDEX('Bảng lương'!$K$10:$K$12,MATCH($B$4,'Bảng lương'!$B$10:$B$12,0)),0))</f>
        <v>27</v>
      </c>
      <c r="F6" s="340"/>
    </row>
    <row r="7" spans="1:6" ht="18" customHeight="1" x14ac:dyDescent="0.35">
      <c r="A7" s="230"/>
      <c r="B7" s="231"/>
      <c r="C7" s="231"/>
      <c r="D7" s="229"/>
      <c r="E7" s="231"/>
      <c r="F7" s="231"/>
    </row>
    <row r="8" spans="1:6" ht="35.25" customHeight="1" x14ac:dyDescent="0.35">
      <c r="A8" s="232" t="s">
        <v>1</v>
      </c>
      <c r="B8" s="232" t="s">
        <v>199</v>
      </c>
      <c r="C8" s="232" t="s">
        <v>200</v>
      </c>
      <c r="D8" s="232" t="s">
        <v>1</v>
      </c>
      <c r="E8" s="232" t="s">
        <v>201</v>
      </c>
      <c r="F8" s="232" t="s">
        <v>200</v>
      </c>
    </row>
    <row r="9" spans="1:6" ht="29.25" customHeight="1" x14ac:dyDescent="0.35">
      <c r="A9" s="233">
        <v>1</v>
      </c>
      <c r="B9" s="234" t="s">
        <v>202</v>
      </c>
      <c r="C9" s="235">
        <f>IF($B$4="","",IFERROR(INDEX('Bảng lương'!$D$10:$D$12,MATCH($B$4,'Bảng lương'!$B$10:$B$12,0))*INDEX('Bảng lương'!$AK$10:$AK$12,MATCH($B$4,'Bảng lương'!$B$10:$B$12,0)),0))</f>
        <v>6000000</v>
      </c>
      <c r="D9" s="233">
        <v>1</v>
      </c>
      <c r="E9" s="234" t="s">
        <v>203</v>
      </c>
      <c r="F9" s="235">
        <f>IF($B$4="","",IFERROR(INDEX('Bảng lương'!$S$10:$S$12,MATCH($B$4,'Bảng lương'!$B$10:$B$12,0)),0))</f>
        <v>480000</v>
      </c>
    </row>
    <row r="10" spans="1:6" ht="29.25" customHeight="1" x14ac:dyDescent="0.35">
      <c r="A10" s="233">
        <v>2</v>
      </c>
      <c r="B10" s="234" t="s">
        <v>204</v>
      </c>
      <c r="C10" s="235">
        <f>IF($B$4="","",IFERROR(INDEX('Bảng lương'!$E$10:$E$12,MATCH($B$4,'Bảng lương'!$B$10:$B$12,0))*INDEX('Bảng lương'!$AK$10:$AK$12,MATCH($B$4,'Bảng lương'!$B$10:$B$12,0)),0))</f>
        <v>3000000</v>
      </c>
      <c r="D10" s="233">
        <v>2</v>
      </c>
      <c r="E10" s="234" t="s">
        <v>205</v>
      </c>
      <c r="F10" s="235">
        <f>IF($B$4="","",IFERROR(INDEX('Bảng lương'!$T$10:$T$12,MATCH($B$4,'Bảng lương'!$B$10:$B$12,0)),0))</f>
        <v>90000</v>
      </c>
    </row>
    <row r="11" spans="1:6" ht="29.25" customHeight="1" x14ac:dyDescent="0.35">
      <c r="A11" s="233">
        <v>3</v>
      </c>
      <c r="B11" s="234" t="s">
        <v>206</v>
      </c>
      <c r="C11" s="235">
        <f>IF($B$4="","",IFERROR(INDEX('Bảng lương'!$F$10:$F$12,MATCH($B$4,'Bảng lương'!$B$10:$B$12,0))*INDEX('Bảng lương'!$AK$10:$AK$12,MATCH($B$4,'Bảng lương'!$B$10:$B$12,0)),0))</f>
        <v>1000000</v>
      </c>
      <c r="D11" s="233">
        <v>3</v>
      </c>
      <c r="E11" s="234" t="s">
        <v>207</v>
      </c>
      <c r="F11" s="235">
        <f>IF($B$4="","",IFERROR(INDEX('Bảng lương'!$U$10:$U$12,MATCH($B$4,'Bảng lương'!$B$10:$B$12,0)),0))</f>
        <v>60000</v>
      </c>
    </row>
    <row r="12" spans="1:6" ht="29.25" customHeight="1" x14ac:dyDescent="0.35">
      <c r="A12" s="233">
        <v>4</v>
      </c>
      <c r="B12" s="234" t="s">
        <v>208</v>
      </c>
      <c r="C12" s="235">
        <f>IF($B$4="","",IFERROR(INDEX('Bảng lương'!$J$10:$J$12,MATCH($B$4,'Bảng lương'!$B$10:$B$12,0))*INDEX('Bảng lương'!$AK$10:$AK$12,MATCH($B$4,'Bảng lương'!$B$10:$B$12,0)),0))</f>
        <v>2000000</v>
      </c>
      <c r="D12" s="233">
        <v>4</v>
      </c>
      <c r="E12" s="234" t="s">
        <v>142</v>
      </c>
      <c r="F12" s="235">
        <f>IF($B$4="","",IFERROR(INDEX('Bảng lương'!$W$10:$W$12,MATCH($B$4,'Bảng lương'!$B$10:$B$12,0)),0))</f>
        <v>0</v>
      </c>
    </row>
    <row r="13" spans="1:6" ht="29.25" customHeight="1" x14ac:dyDescent="0.35">
      <c r="A13" s="233">
        <v>5</v>
      </c>
      <c r="B13" s="234" t="s">
        <v>209</v>
      </c>
      <c r="C13" s="235">
        <f>IF($B$4="","",IFERROR(INDEX('Bảng lương'!$H$10:$H$12,MATCH($B$4,'Bảng lương'!$B$10:$B$12,0))+N(INDEX('Bảng lương'!$I$10:$I$12,MATCH($B$4,'Bảng lương'!$B$10:$B$12,0))),0))</f>
        <v>0</v>
      </c>
      <c r="D13" s="233">
        <v>5</v>
      </c>
      <c r="E13" s="234" t="s">
        <v>210</v>
      </c>
      <c r="F13" s="235">
        <f>IF($B$4="","",IFERROR(INDEX('Bảng lương'!$X$10:$X$12,MATCH($B$4,'Bảng lương'!$B$10:$B$12,0))+N(INDEX('Bảng lương'!$Y$10:$Y$12,MATCH($B$4,'Bảng lương'!$B$10:$B$12,0))),0))</f>
        <v>0</v>
      </c>
    </row>
    <row r="14" spans="1:6" ht="29.25" customHeight="1" x14ac:dyDescent="0.35">
      <c r="A14" s="233">
        <v>6</v>
      </c>
      <c r="B14" s="234" t="s">
        <v>211</v>
      </c>
      <c r="C14" s="235">
        <f>IF($B$4="","",IFERROR(INDEX('Bảng lương'!$AH$10:$AH$12,MATCH($B$4,'Bảng lương'!$B$10:$B$12,0)),0))</f>
        <v>0</v>
      </c>
      <c r="D14" s="236"/>
      <c r="E14" s="234"/>
      <c r="F14" s="235"/>
    </row>
    <row r="15" spans="1:6" ht="29.25" customHeight="1" x14ac:dyDescent="0.35">
      <c r="A15" s="237" t="s">
        <v>212</v>
      </c>
      <c r="B15" s="228" t="s">
        <v>213</v>
      </c>
      <c r="C15" s="238">
        <f>IF($B$4="","",SUM(C9:C14))</f>
        <v>12000000</v>
      </c>
      <c r="D15" s="237" t="s">
        <v>214</v>
      </c>
      <c r="E15" s="228" t="s">
        <v>215</v>
      </c>
      <c r="F15" s="238">
        <f>IF($B$4="","",SUM(F9:F13))</f>
        <v>630000</v>
      </c>
    </row>
    <row r="16" spans="1:6" ht="42" customHeight="1" x14ac:dyDescent="0.35">
      <c r="A16" s="341" t="s">
        <v>216</v>
      </c>
      <c r="B16" s="341"/>
      <c r="C16" s="341"/>
      <c r="D16" s="237" t="s">
        <v>217</v>
      </c>
      <c r="E16" s="228" t="s">
        <v>218</v>
      </c>
      <c r="F16" s="238">
        <f>IF($B$4="","",IFERROR(INDEX('Bảng lương'!$AI$10:$AI$12,MATCH($B$4,'Bảng lương'!$B$10:$B$12,0)),0))</f>
        <v>0</v>
      </c>
    </row>
    <row r="17" spans="1:8" ht="29.25" customHeight="1" x14ac:dyDescent="0.35">
      <c r="A17" s="342" t="s">
        <v>219</v>
      </c>
      <c r="B17" s="342"/>
      <c r="C17" s="342"/>
      <c r="D17" s="343">
        <f>IF($B$4="","",C15-F15+F16)</f>
        <v>11370000</v>
      </c>
      <c r="E17" s="343"/>
      <c r="F17" s="343"/>
    </row>
    <row r="18" spans="1:8" ht="30.75" customHeight="1" x14ac:dyDescent="0.35">
      <c r="A18" s="239"/>
      <c r="B18" s="239"/>
      <c r="C18" s="239"/>
      <c r="D18" s="239"/>
      <c r="E18" s="239"/>
      <c r="F18" s="239"/>
    </row>
    <row r="19" spans="1:8" ht="30.75" customHeight="1" x14ac:dyDescent="0.35">
      <c r="A19" s="227"/>
      <c r="B19" s="227" t="s">
        <v>220</v>
      </c>
      <c r="C19" s="239"/>
      <c r="D19" s="239"/>
      <c r="E19" s="227" t="s">
        <v>221</v>
      </c>
    </row>
    <row r="20" spans="1:8" ht="30.75" customHeight="1" x14ac:dyDescent="0.35"/>
    <row r="21" spans="1:8" ht="30.75" customHeight="1" x14ac:dyDescent="0.35"/>
    <row r="22" spans="1:8" ht="30.75" customHeight="1" x14ac:dyDescent="0.35"/>
    <row r="23" spans="1:8" ht="30.75" customHeight="1" x14ac:dyDescent="0.35"/>
    <row r="24" spans="1:8" ht="30.75" customHeight="1" x14ac:dyDescent="0.35"/>
    <row r="25" spans="1:8" ht="30.75" customHeight="1" x14ac:dyDescent="0.35"/>
    <row r="26" spans="1:8" ht="30.75" customHeight="1" x14ac:dyDescent="0.35">
      <c r="H26" s="120"/>
    </row>
    <row r="27" spans="1:8" ht="30.75" customHeight="1" x14ac:dyDescent="0.35"/>
    <row r="28" spans="1:8" ht="30.75" customHeight="1" x14ac:dyDescent="0.35">
      <c r="H28" s="120"/>
    </row>
    <row r="29" spans="1:8" ht="30.75" customHeight="1" x14ac:dyDescent="0.35"/>
    <row r="30" spans="1:8" ht="30.75" customHeight="1" x14ac:dyDescent="0.35"/>
    <row r="31" spans="1:8" ht="30.75" customHeight="1" x14ac:dyDescent="0.35"/>
    <row r="32" spans="1:8" ht="30.75" customHeight="1" x14ac:dyDescent="0.35"/>
    <row r="33" spans="9:9" ht="30.75" customHeight="1" x14ac:dyDescent="0.35">
      <c r="I33" s="120"/>
    </row>
    <row r="36" spans="9:9" ht="15" customHeight="1" x14ac:dyDescent="0.35"/>
  </sheetData>
  <mergeCells count="9">
    <mergeCell ref="E6:F6"/>
    <mergeCell ref="A16:C16"/>
    <mergeCell ref="A17:C17"/>
    <mergeCell ref="D17:F17"/>
    <mergeCell ref="A1:F1"/>
    <mergeCell ref="A2:F2"/>
    <mergeCell ref="A3:F3"/>
    <mergeCell ref="E4:F4"/>
    <mergeCell ref="E5:F5"/>
  </mergeCells>
  <pageMargins left="0.27986111111111101" right="0.19027777777777799" top="0.75" bottom="0.75" header="0.511811023622047" footer="0.511811023622047"/>
  <pageSetup paperSize="9" scale="60"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14A3BCFF-E8C0-4DB1-B0DF-0B517DED2ACE}">
          <x14:formula1>
            <xm:f>'Mức lương'!$B$8:$B$54</xm:f>
          </x14:formula1>
          <xm:sqref>B4</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R5"/>
  <sheetViews>
    <sheetView zoomScaleNormal="100" workbookViewId="0">
      <pane xSplit="3" ySplit="2" topLeftCell="D3" activePane="bottomRight" state="frozen"/>
      <selection pane="topRight" activeCell="D1" sqref="D1"/>
      <selection pane="bottomLeft" activeCell="A3" sqref="A3"/>
      <selection pane="bottomRight" activeCell="M6" sqref="M6"/>
    </sheetView>
  </sheetViews>
  <sheetFormatPr defaultColWidth="14" defaultRowHeight="13.8" x14ac:dyDescent="0.25"/>
  <cols>
    <col min="1" max="1" width="6" style="107" customWidth="1"/>
    <col min="2" max="2" width="27.33203125" style="67" customWidth="1"/>
    <col min="3" max="3" width="22" style="67" customWidth="1"/>
    <col min="4" max="4" width="10" style="67" customWidth="1"/>
    <col min="5" max="5" width="12" style="67" customWidth="1"/>
    <col min="6" max="6" width="9" style="67" customWidth="1"/>
    <col min="7" max="8" width="14" style="67"/>
    <col min="9" max="9" width="26.6640625" style="67" customWidth="1"/>
    <col min="10" max="13" width="14" style="67"/>
    <col min="14" max="14" width="20.88671875" style="67" customWidth="1"/>
    <col min="15" max="16384" width="14" style="67"/>
  </cols>
  <sheetData>
    <row r="1" spans="1:18" ht="33" customHeight="1" x14ac:dyDescent="0.25">
      <c r="A1" s="347" t="s">
        <v>222</v>
      </c>
      <c r="B1" s="347"/>
      <c r="C1" s="347"/>
      <c r="D1" s="347"/>
      <c r="E1" s="347"/>
      <c r="F1" s="347"/>
      <c r="G1" s="347"/>
      <c r="H1" s="347"/>
      <c r="I1" s="347"/>
      <c r="J1" s="347"/>
      <c r="K1" s="347"/>
      <c r="L1" s="347"/>
      <c r="M1" s="347"/>
      <c r="N1" s="347"/>
      <c r="O1" s="347"/>
      <c r="P1" s="347"/>
      <c r="Q1" s="347"/>
      <c r="R1" s="347"/>
    </row>
    <row r="2" spans="1:18" ht="28.5" customHeight="1" x14ac:dyDescent="0.25">
      <c r="A2" s="240" t="s">
        <v>1</v>
      </c>
      <c r="B2" s="240" t="s">
        <v>223</v>
      </c>
      <c r="C2" s="240" t="s">
        <v>224</v>
      </c>
      <c r="D2" s="79" t="s">
        <v>225</v>
      </c>
      <c r="E2" s="79" t="s">
        <v>226</v>
      </c>
      <c r="F2" s="79" t="s">
        <v>227</v>
      </c>
      <c r="G2" s="79" t="s">
        <v>228</v>
      </c>
      <c r="H2" s="79" t="s">
        <v>229</v>
      </c>
      <c r="I2" s="79" t="s">
        <v>230</v>
      </c>
      <c r="J2" s="79" t="s">
        <v>231</v>
      </c>
      <c r="K2" s="79" t="s">
        <v>232</v>
      </c>
      <c r="L2" s="79" t="s">
        <v>233</v>
      </c>
      <c r="M2" s="79" t="s">
        <v>234</v>
      </c>
      <c r="N2" s="79" t="s">
        <v>235</v>
      </c>
      <c r="O2" s="241" t="s">
        <v>236</v>
      </c>
      <c r="P2" s="241" t="s">
        <v>237</v>
      </c>
      <c r="Q2" s="241" t="s">
        <v>238</v>
      </c>
      <c r="R2" s="79" t="s">
        <v>239</v>
      </c>
    </row>
    <row r="3" spans="1:18" ht="15" customHeight="1" x14ac:dyDescent="0.25">
      <c r="A3" s="242">
        <f>IF('Mức lương'!A8="","",'Mức lương'!A8)</f>
        <v>1</v>
      </c>
      <c r="B3" s="243" t="str">
        <f>IF('Mức lương'!B8="","",'Mức lương'!B8)</f>
        <v>NGUYỄN KIM QUYẾT</v>
      </c>
      <c r="C3" s="243" t="str">
        <f>IF('Mức lương'!C8="","",'Mức lương'!C8)</f>
        <v>Giám Đốc</v>
      </c>
      <c r="D3" s="244" t="str">
        <f t="shared" ref="D3:D5" si="0">IF(ISNUMBER(A3),"NV"&amp;TEXT(A3,"00"),"")</f>
        <v>NV01</v>
      </c>
      <c r="E3" s="245"/>
      <c r="F3" s="246"/>
      <c r="G3" s="247"/>
      <c r="H3" s="245"/>
      <c r="I3" s="247" t="s">
        <v>240</v>
      </c>
      <c r="J3" s="247"/>
      <c r="K3" s="247"/>
      <c r="L3" s="247"/>
      <c r="M3" s="245"/>
      <c r="N3" s="247" t="s">
        <v>241</v>
      </c>
      <c r="O3" s="248"/>
      <c r="P3" s="248"/>
      <c r="Q3" s="248"/>
      <c r="R3" s="249"/>
    </row>
    <row r="4" spans="1:18" ht="15" customHeight="1" x14ac:dyDescent="0.25">
      <c r="A4" s="250" t="str">
        <f>IF('Mức lương'!A9="","",'Mức lương'!A9)</f>
        <v>I</v>
      </c>
      <c r="B4" s="251" t="str">
        <f>IF('Mức lương'!B9="","",'Mức lương'!B9)</f>
        <v>BỘ PHẬN LÁI XE</v>
      </c>
      <c r="C4" s="243" t="str">
        <f>IF('Mức lương'!C9="","",'Mức lương'!C9)</f>
        <v/>
      </c>
      <c r="D4" s="244" t="str">
        <f t="shared" si="0"/>
        <v/>
      </c>
      <c r="E4" s="245"/>
      <c r="F4" s="246"/>
      <c r="G4" s="247"/>
      <c r="H4" s="245"/>
      <c r="I4" s="247" t="s">
        <v>240</v>
      </c>
      <c r="J4" s="247"/>
      <c r="K4" s="247"/>
      <c r="L4" s="247"/>
      <c r="M4" s="245"/>
      <c r="N4" s="247" t="s">
        <v>241</v>
      </c>
      <c r="O4" s="248"/>
      <c r="P4" s="248"/>
      <c r="Q4" s="248"/>
      <c r="R4" s="249"/>
    </row>
    <row r="5" spans="1:18" ht="15" customHeight="1" x14ac:dyDescent="0.25">
      <c r="A5" s="242">
        <f>IF('Mức lương'!A10="","",'Mức lương'!A10)</f>
        <v>2</v>
      </c>
      <c r="B5" s="243" t="str">
        <f>IF('Mức lương'!B10="","",'Mức lương'!B10)</f>
        <v>NGUYỄN VĂN LỢI</v>
      </c>
      <c r="C5" s="243" t="str">
        <f>IF('Mức lương'!C10="","",'Mức lương'!C10)</f>
        <v>Tài xế xe tải</v>
      </c>
      <c r="D5" s="244" t="str">
        <f t="shared" si="0"/>
        <v>NV02</v>
      </c>
      <c r="E5" s="245"/>
      <c r="F5" s="246"/>
      <c r="G5" s="247"/>
      <c r="H5" s="245"/>
      <c r="I5" s="247" t="s">
        <v>240</v>
      </c>
      <c r="J5" s="247"/>
      <c r="K5" s="247"/>
      <c r="L5" s="247"/>
      <c r="M5" s="245">
        <v>46296</v>
      </c>
      <c r="N5" s="247" t="s">
        <v>241</v>
      </c>
      <c r="O5" s="248"/>
      <c r="P5" s="248"/>
      <c r="Q5" s="248"/>
      <c r="R5" s="249"/>
    </row>
  </sheetData>
  <autoFilter ref="A2:G5" xr:uid="{00000000-0009-0000-0000-000008000000}"/>
  <mergeCells count="1">
    <mergeCell ref="A1:R1"/>
  </mergeCells>
  <conditionalFormatting sqref="B1:B1048576">
    <cfRule type="duplicateValues" dxfId="2" priority="2"/>
    <cfRule type="duplicateValues" dxfId="1" priority="3"/>
  </conditionalFormatting>
  <conditionalFormatting sqref="B2:B1048576">
    <cfRule type="duplicateValues" dxfId="0" priority="4"/>
  </conditionalFormatting>
  <pageMargins left="0.7" right="0.7" top="0.75" bottom="0.75" header="0.511811023622047" footer="0.511811023622047"/>
  <pageSetup paperSize="9" scale="32"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pageSetUpPr fitToPage="1"/>
  </sheetPr>
  <dimension ref="A1:I128"/>
  <sheetViews>
    <sheetView showGridLines="0" zoomScaleNormal="100" workbookViewId="0">
      <selection activeCell="N21" sqref="N21"/>
    </sheetView>
  </sheetViews>
  <sheetFormatPr defaultColWidth="8.6640625" defaultRowHeight="14.4" x14ac:dyDescent="0.3"/>
  <cols>
    <col min="1" max="1" width="16" customWidth="1"/>
    <col min="2" max="5" width="15" customWidth="1"/>
    <col min="6" max="6" width="14" customWidth="1"/>
    <col min="8" max="8" width="15.6640625" customWidth="1"/>
  </cols>
  <sheetData>
    <row r="1" spans="1:9" ht="14.25" customHeight="1" x14ac:dyDescent="0.3">
      <c r="A1" t="s">
        <v>242</v>
      </c>
    </row>
    <row r="2" spans="1:9" ht="21.75" customHeight="1" x14ac:dyDescent="0.3">
      <c r="A2" s="348" t="s">
        <v>243</v>
      </c>
      <c r="B2" s="348"/>
      <c r="C2" s="349" t="s">
        <v>244</v>
      </c>
      <c r="D2" s="349"/>
      <c r="E2" s="349"/>
      <c r="F2" s="349"/>
      <c r="H2" s="254" t="s">
        <v>245</v>
      </c>
      <c r="I2" s="255"/>
    </row>
    <row r="3" spans="1:9" ht="21.75" customHeight="1" x14ac:dyDescent="0.3">
      <c r="A3" s="350"/>
      <c r="B3" s="350"/>
      <c r="C3" s="351" t="s">
        <v>246</v>
      </c>
      <c r="D3" s="351"/>
      <c r="E3" s="351"/>
      <c r="F3" s="351"/>
      <c r="H3" s="257" t="str">
        <f>IF($I$2="","",IFERROR("Đã chọn: "&amp;$I$5&amp;" - "&amp;$I$6,"⚠ Không tìm thấy Mã NV trong sheet DS số TKNH"))</f>
        <v/>
      </c>
    </row>
    <row r="4" spans="1:9" ht="21.75" customHeight="1" x14ac:dyDescent="0.3">
      <c r="A4" s="352" t="s">
        <v>247</v>
      </c>
      <c r="B4" s="352"/>
      <c r="C4" s="353" t="s">
        <v>248</v>
      </c>
      <c r="D4" s="353"/>
      <c r="E4" s="353"/>
      <c r="F4" s="353"/>
      <c r="H4" s="258" t="s">
        <v>249</v>
      </c>
    </row>
    <row r="5" spans="1:9" ht="14.25" customHeight="1" x14ac:dyDescent="0.3">
      <c r="H5" s="258" t="s">
        <v>225</v>
      </c>
      <c r="I5" s="258">
        <f>$I$2</f>
        <v>0</v>
      </c>
    </row>
    <row r="6" spans="1:9" ht="25.5" customHeight="1" x14ac:dyDescent="0.3">
      <c r="A6" s="354" t="s">
        <v>250</v>
      </c>
      <c r="B6" s="354"/>
      <c r="C6" s="354"/>
      <c r="D6" s="354"/>
      <c r="E6" s="354"/>
      <c r="F6" s="354"/>
      <c r="H6" s="258" t="s">
        <v>251</v>
      </c>
      <c r="I6" s="258" t="str">
        <f>IFERROR(INDEX('DS số TKNH'!$B:$B,MATCH($I$2,'DS số TKNH'!$D:$D,0)),"")</f>
        <v/>
      </c>
    </row>
    <row r="7" spans="1:9" ht="14.25" customHeight="1" x14ac:dyDescent="0.3">
      <c r="H7" s="258" t="s">
        <v>197</v>
      </c>
      <c r="I7" s="258" t="str">
        <f>IFERROR(INDEX('DS số TKNH'!$C:$C,MATCH($I$2,'DS số TKNH'!$D:$D,0)),"")</f>
        <v/>
      </c>
    </row>
    <row r="8" spans="1:9" ht="21.75" customHeight="1" x14ac:dyDescent="0.3">
      <c r="A8" s="355" t="s">
        <v>252</v>
      </c>
      <c r="B8" s="355"/>
      <c r="C8" s="355"/>
      <c r="D8" s="355"/>
      <c r="E8" s="355"/>
      <c r="F8" s="355"/>
      <c r="H8" s="258" t="s">
        <v>226</v>
      </c>
      <c r="I8" s="259" t="str">
        <f>IFERROR(INDEX('DS số TKNH'!$E:$E,MATCH($I$2,'DS số TKNH'!$D:$D,0)),"")</f>
        <v/>
      </c>
    </row>
    <row r="9" spans="1:9" ht="21.75" customHeight="1" x14ac:dyDescent="0.3">
      <c r="A9" s="355" t="s">
        <v>253</v>
      </c>
      <c r="B9" s="355"/>
      <c r="C9" s="355"/>
      <c r="D9" s="355"/>
      <c r="E9" s="355" t="s">
        <v>254</v>
      </c>
      <c r="F9" s="355"/>
      <c r="H9" s="258" t="s">
        <v>227</v>
      </c>
      <c r="I9" s="258" t="str">
        <f>IFERROR(INDEX('DS số TKNH'!$F:$F,MATCH($I$2,'DS số TKNH'!$D:$D,0)),"")</f>
        <v/>
      </c>
    </row>
    <row r="10" spans="1:9" ht="21.75" customHeight="1" x14ac:dyDescent="0.3">
      <c r="A10" s="355" t="s">
        <v>255</v>
      </c>
      <c r="B10" s="355"/>
      <c r="C10" s="355"/>
      <c r="D10" s="355"/>
      <c r="E10" s="355"/>
      <c r="F10" s="355"/>
      <c r="H10" s="258" t="s">
        <v>228</v>
      </c>
      <c r="I10" s="258" t="str">
        <f>IFERROR(INDEX('DS số TKNH'!$G:$G,MATCH($I$2,'DS số TKNH'!$D:$D,0)),"")</f>
        <v/>
      </c>
    </row>
    <row r="11" spans="1:9" ht="21.75" customHeight="1" x14ac:dyDescent="0.3">
      <c r="A11" s="355" t="s">
        <v>256</v>
      </c>
      <c r="B11" s="355"/>
      <c r="C11" s="355"/>
      <c r="D11" s="355"/>
      <c r="E11" s="355"/>
      <c r="F11" s="355"/>
      <c r="H11" s="258" t="s">
        <v>257</v>
      </c>
      <c r="I11" s="259" t="str">
        <f>IFERROR(INDEX('DS số TKNH'!$H:$H,MATCH($I$2,'DS số TKNH'!$D:$D,0)),"")</f>
        <v/>
      </c>
    </row>
    <row r="12" spans="1:9" ht="21.75" customHeight="1" x14ac:dyDescent="0.3">
      <c r="A12" s="355" t="s">
        <v>258</v>
      </c>
      <c r="B12" s="355"/>
      <c r="C12" s="355"/>
      <c r="D12" s="355"/>
      <c r="E12" s="355"/>
      <c r="F12" s="355"/>
      <c r="H12" s="258" t="s">
        <v>230</v>
      </c>
      <c r="I12" s="258" t="str">
        <f>IFERROR(INDEX('DS số TKNH'!$I:$I,MATCH($I$2,'DS số TKNH'!$D:$D,0)),"")</f>
        <v/>
      </c>
    </row>
    <row r="13" spans="1:9" ht="21.75" customHeight="1" x14ac:dyDescent="0.3">
      <c r="A13" s="355" t="s">
        <v>259</v>
      </c>
      <c r="B13" s="355"/>
      <c r="C13" s="355"/>
      <c r="D13" s="355"/>
      <c r="E13" s="355"/>
      <c r="F13" s="355"/>
      <c r="H13" s="258" t="s">
        <v>260</v>
      </c>
      <c r="I13" s="258" t="str">
        <f>IFERROR(INDEX('DS số TKNH'!$J:$J,MATCH($I$2,'DS số TKNH'!$D:$D,0)),"")</f>
        <v/>
      </c>
    </row>
    <row r="14" spans="1:9" ht="21.75" customHeight="1" x14ac:dyDescent="0.3">
      <c r="A14" s="355" t="str">
        <f>"Ông (bà): "&amp;IF($I$6="","…..",$I$6)</f>
        <v>Ông (bà): …..</v>
      </c>
      <c r="B14" s="355"/>
      <c r="C14" s="355"/>
      <c r="D14" s="355"/>
      <c r="E14" s="355" t="s">
        <v>254</v>
      </c>
      <c r="F14" s="355"/>
      <c r="H14" s="258" t="s">
        <v>261</v>
      </c>
      <c r="I14" s="258" t="str">
        <f>IFERROR(INDEX('DS số TKNH'!$K:$K,MATCH($I$2,'DS số TKNH'!$D:$D,0)),"")</f>
        <v/>
      </c>
    </row>
    <row r="15" spans="1:9" ht="21.75" customHeight="1" x14ac:dyDescent="0.3">
      <c r="A15" s="355" t="str">
        <f>"Chức vụ (2): "&amp;IF($I$7="","….",$I$7)</f>
        <v>Chức vụ (2): ….</v>
      </c>
      <c r="B15" s="355"/>
      <c r="C15" s="355"/>
      <c r="D15" s="355"/>
      <c r="E15" s="355"/>
      <c r="F15" s="355"/>
      <c r="H15" s="258" t="s">
        <v>233</v>
      </c>
      <c r="I15" s="258" t="str">
        <f>IFERROR(INDEX('DS số TKNH'!$L:$L,MATCH($I$2,'DS số TKNH'!$D:$D,0)),"")</f>
        <v/>
      </c>
    </row>
    <row r="16" spans="1:9" ht="21.75" customHeight="1" x14ac:dyDescent="0.3">
      <c r="A16" s="355" t="str">
        <f>"Sinh năm (3): "&amp;IF($I$8="","…..",TEXT($I$8,"dd/mm/yyyy"))</f>
        <v>Sinh năm (3): …..</v>
      </c>
      <c r="B16" s="355"/>
      <c r="C16" s="355"/>
      <c r="D16" s="355"/>
      <c r="E16" s="355"/>
      <c r="F16" s="355"/>
      <c r="H16" s="258" t="s">
        <v>234</v>
      </c>
      <c r="I16" s="259" t="str">
        <f>IFERROR(INDEX('DS số TKNH'!$M:$M,MATCH($I$2,'DS số TKNH'!$D:$D,0)),"")</f>
        <v/>
      </c>
    </row>
    <row r="17" spans="1:9" ht="21.75" customHeight="1" x14ac:dyDescent="0.3">
      <c r="A17" s="355" t="str">
        <f>"CMND/CCCD: "&amp;IF($I$10="","….",$I$10)&amp;IF($I$11="","","   Ngày cấp: "&amp;TEXT($I$11,"dd/mm/yyyy"))&amp;IF($I$12="","","   Nơi cấp: "&amp;$I$12)</f>
        <v>CMND/CCCD: ….</v>
      </c>
      <c r="B17" s="355"/>
      <c r="C17" s="355" t="s">
        <v>262</v>
      </c>
      <c r="D17" s="355"/>
      <c r="E17" s="355"/>
      <c r="F17" s="355"/>
      <c r="H17" s="258" t="s">
        <v>235</v>
      </c>
      <c r="I17" s="258" t="str">
        <f>IFERROR(INDEX('DS số TKNH'!$N:$N,MATCH($I$2,'DS số TKNH'!$D:$D,0)),"")</f>
        <v/>
      </c>
    </row>
    <row r="18" spans="1:9" ht="21.75" customHeight="1" x14ac:dyDescent="0.3">
      <c r="A18" s="355" t="str">
        <f>"Địa chỉ thường trú: "&amp;IF($I$13="","….",$I$13)</f>
        <v>Địa chỉ thường trú: ….</v>
      </c>
      <c r="B18" s="355"/>
      <c r="C18" s="355"/>
      <c r="D18" s="355"/>
      <c r="E18" s="355"/>
      <c r="F18" s="355"/>
      <c r="H18" s="258" t="s">
        <v>263</v>
      </c>
      <c r="I18" s="260" t="str">
        <f>IFERROR(INDEX('Mức lương'!$D:$D,MATCH($I$6,'Mức lương'!$B:$B,0)),"")</f>
        <v/>
      </c>
    </row>
    <row r="19" spans="1:9" ht="21.75" customHeight="1" x14ac:dyDescent="0.3">
      <c r="A19" s="355" t="str">
        <f>"Địa chỉ cư trú: "&amp;IF($I$14="","……",$I$14)</f>
        <v>Địa chỉ cư trú: ……</v>
      </c>
      <c r="B19" s="355"/>
      <c r="C19" s="355"/>
      <c r="D19" s="355"/>
      <c r="E19" s="355"/>
      <c r="F19" s="355"/>
    </row>
    <row r="21" spans="1:9" ht="37.5" customHeight="1" x14ac:dyDescent="0.3">
      <c r="A21" s="355" t="s">
        <v>264</v>
      </c>
      <c r="B21" s="355"/>
      <c r="C21" s="355"/>
      <c r="D21" s="355"/>
      <c r="E21" s="355"/>
      <c r="F21" s="355"/>
    </row>
    <row r="22" spans="1:9" ht="21.75" customHeight="1" x14ac:dyDescent="0.3">
      <c r="A22" s="356" t="s">
        <v>265</v>
      </c>
      <c r="B22" s="356"/>
      <c r="C22" s="356"/>
      <c r="D22" s="356"/>
      <c r="E22" s="356"/>
      <c r="F22" s="356"/>
    </row>
    <row r="23" spans="1:9" ht="21.75" customHeight="1" x14ac:dyDescent="0.3">
      <c r="A23" s="355" t="str">
        <f>"Loại hợp đồng lao động (3): Hợp đồng "&amp;IF($I$17="","không xác định thời hạn",LOWER($I$17))</f>
        <v>Loại hợp đồng lao động (3): Hợp đồng không xác định thời hạn</v>
      </c>
      <c r="B23" s="355"/>
      <c r="C23" s="355"/>
      <c r="D23" s="355"/>
      <c r="E23" s="355"/>
      <c r="F23" s="355"/>
    </row>
    <row r="24" spans="1:9" ht="21.75" customHeight="1" x14ac:dyDescent="0.3">
      <c r="A24" s="355" t="str">
        <f>"- Hợp đồng có hiệu lực từ ngày: "&amp;IF($I$16="","………",TEXT($I$16,"dd/mm/yyyy"))</f>
        <v>- Hợp đồng có hiệu lực từ ngày: ………</v>
      </c>
      <c r="B24" s="355"/>
      <c r="C24" s="355"/>
      <c r="D24" s="355"/>
      <c r="E24" s="355"/>
      <c r="F24" s="355"/>
    </row>
    <row r="25" spans="1:9" ht="37.5" customHeight="1" x14ac:dyDescent="0.3">
      <c r="A25" s="355" t="s">
        <v>266</v>
      </c>
      <c r="B25" s="355"/>
      <c r="C25" s="355"/>
      <c r="D25" s="355"/>
      <c r="E25" s="355"/>
      <c r="F25" s="355"/>
    </row>
    <row r="26" spans="1:9" ht="21.75" customHeight="1" x14ac:dyDescent="0.3">
      <c r="A26" s="355" t="s">
        <v>267</v>
      </c>
      <c r="B26" s="355"/>
      <c r="C26" s="355"/>
      <c r="D26" s="355"/>
      <c r="E26" s="355"/>
      <c r="F26" s="355"/>
    </row>
    <row r="27" spans="1:9" ht="21.75" customHeight="1" x14ac:dyDescent="0.3">
      <c r="A27" s="355" t="s">
        <v>268</v>
      </c>
      <c r="B27" s="355"/>
      <c r="C27" s="355"/>
      <c r="D27" s="355"/>
      <c r="E27" s="355"/>
      <c r="F27" s="355"/>
    </row>
    <row r="28" spans="1:9" ht="85.5" customHeight="1" x14ac:dyDescent="0.3">
      <c r="A28" s="355" t="s">
        <v>269</v>
      </c>
      <c r="B28" s="355"/>
      <c r="C28" s="355"/>
      <c r="D28" s="355"/>
      <c r="E28" s="355"/>
      <c r="F28" s="355"/>
    </row>
    <row r="30" spans="1:9" ht="21.75" customHeight="1" x14ac:dyDescent="0.3">
      <c r="A30" s="356" t="s">
        <v>270</v>
      </c>
      <c r="B30" s="356"/>
      <c r="C30" s="356"/>
      <c r="D30" s="356"/>
      <c r="E30" s="356"/>
      <c r="F30" s="356"/>
    </row>
    <row r="31" spans="1:9" ht="21.75" customHeight="1" x14ac:dyDescent="0.3">
      <c r="A31" s="355" t="s">
        <v>271</v>
      </c>
      <c r="B31" s="355"/>
      <c r="C31" s="355"/>
      <c r="D31" s="355"/>
      <c r="E31" s="355"/>
      <c r="F31" s="355"/>
    </row>
    <row r="32" spans="1:9" ht="21.75" customHeight="1" x14ac:dyDescent="0.3">
      <c r="A32" s="355" t="s">
        <v>272</v>
      </c>
      <c r="B32" s="355"/>
      <c r="C32" s="355"/>
      <c r="D32" s="355"/>
      <c r="E32" s="355"/>
      <c r="F32" s="355"/>
    </row>
    <row r="33" spans="1:6" ht="21.75" customHeight="1" x14ac:dyDescent="0.3">
      <c r="A33" s="355" t="s">
        <v>273</v>
      </c>
      <c r="B33" s="355"/>
      <c r="C33" s="355"/>
      <c r="D33" s="355"/>
      <c r="E33" s="355"/>
      <c r="F33" s="355"/>
    </row>
    <row r="34" spans="1:6" ht="54" customHeight="1" x14ac:dyDescent="0.3">
      <c r="A34" s="355" t="s">
        <v>274</v>
      </c>
      <c r="B34" s="355"/>
      <c r="C34" s="355"/>
      <c r="D34" s="355"/>
      <c r="E34" s="355"/>
      <c r="F34" s="355"/>
    </row>
    <row r="35" spans="1:6" ht="102" customHeight="1" x14ac:dyDescent="0.3">
      <c r="A35" s="355" t="s">
        <v>275</v>
      </c>
      <c r="B35" s="355"/>
      <c r="C35" s="355"/>
      <c r="D35" s="355"/>
      <c r="E35" s="355"/>
      <c r="F35" s="355"/>
    </row>
    <row r="37" spans="1:6" ht="21.75" customHeight="1" x14ac:dyDescent="0.3">
      <c r="A37" s="356" t="s">
        <v>276</v>
      </c>
      <c r="B37" s="356"/>
      <c r="C37" s="356"/>
      <c r="D37" s="356"/>
      <c r="E37" s="356"/>
      <c r="F37" s="356"/>
    </row>
    <row r="38" spans="1:6" ht="21.75" customHeight="1" x14ac:dyDescent="0.3">
      <c r="A38" s="356" t="s">
        <v>277</v>
      </c>
      <c r="B38" s="356"/>
      <c r="C38" s="356"/>
      <c r="D38" s="356"/>
      <c r="E38" s="356"/>
      <c r="F38" s="356"/>
    </row>
    <row r="39" spans="1:6" ht="21.75" customHeight="1" x14ac:dyDescent="0.3">
      <c r="A39" s="355" t="s">
        <v>278</v>
      </c>
      <c r="B39" s="355"/>
      <c r="C39" s="355"/>
      <c r="D39" s="355"/>
      <c r="E39" s="355"/>
      <c r="F39" s="355"/>
    </row>
    <row r="40" spans="1:6" ht="21.75" customHeight="1" x14ac:dyDescent="0.3">
      <c r="A40" s="355" t="str">
        <f>"- Mức lương chính: "&amp;IF($I$18="","…..",TEXT($I$18,"#,##0"))&amp;" đồng/tháng."</f>
        <v>- Mức lương chính: ….. đồng/tháng.</v>
      </c>
      <c r="B40" s="355"/>
      <c r="C40" s="355"/>
      <c r="D40" s="355"/>
      <c r="E40" s="355"/>
      <c r="F40" s="355"/>
    </row>
    <row r="41" spans="1:6" ht="21.75" customHeight="1" x14ac:dyDescent="0.3">
      <c r="A41" s="355" t="s">
        <v>279</v>
      </c>
      <c r="B41" s="355"/>
      <c r="C41" s="355"/>
      <c r="D41" s="355"/>
      <c r="E41" s="355"/>
      <c r="F41" s="355"/>
    </row>
    <row r="42" spans="1:6" ht="21.75" customHeight="1" x14ac:dyDescent="0.3">
      <c r="A42" s="355" t="s">
        <v>280</v>
      </c>
      <c r="B42" s="355"/>
      <c r="C42" s="355"/>
      <c r="D42" s="355"/>
      <c r="E42" s="355"/>
      <c r="F42" s="355"/>
    </row>
    <row r="43" spans="1:6" ht="21.75" customHeight="1" x14ac:dyDescent="0.3">
      <c r="A43" s="355" t="s">
        <v>281</v>
      </c>
      <c r="B43" s="355"/>
      <c r="C43" s="355"/>
      <c r="D43" s="355"/>
      <c r="E43" s="355"/>
      <c r="F43" s="355"/>
    </row>
    <row r="44" spans="1:6" ht="21.75" customHeight="1" x14ac:dyDescent="0.3">
      <c r="A44" s="355" t="s">
        <v>282</v>
      </c>
      <c r="B44" s="355"/>
      <c r="C44" s="355"/>
      <c r="D44" s="355"/>
      <c r="E44" s="355"/>
      <c r="F44" s="355"/>
    </row>
    <row r="45" spans="1:6" ht="21.75" customHeight="1" x14ac:dyDescent="0.3">
      <c r="A45" s="355" t="s">
        <v>283</v>
      </c>
      <c r="B45" s="355"/>
      <c r="C45" s="355"/>
      <c r="D45" s="355"/>
      <c r="E45" s="355"/>
      <c r="F45" s="355"/>
    </row>
    <row r="46" spans="1:6" ht="21.75" customHeight="1" x14ac:dyDescent="0.3">
      <c r="A46" s="355" t="s">
        <v>284</v>
      </c>
      <c r="B46" s="355"/>
      <c r="C46" s="355"/>
      <c r="D46" s="355"/>
      <c r="E46" s="355"/>
      <c r="F46" s="355"/>
    </row>
    <row r="47" spans="1:6" ht="21.75" customHeight="1" x14ac:dyDescent="0.3">
      <c r="A47" s="355" t="s">
        <v>285</v>
      </c>
      <c r="B47" s="355"/>
      <c r="C47" s="355"/>
      <c r="D47" s="355"/>
      <c r="E47" s="355"/>
      <c r="F47" s="355"/>
    </row>
    <row r="48" spans="1:6" ht="37.5" customHeight="1" x14ac:dyDescent="0.3">
      <c r="A48" s="355" t="s">
        <v>286</v>
      </c>
      <c r="B48" s="355"/>
      <c r="C48" s="355"/>
      <c r="D48" s="355"/>
      <c r="E48" s="355"/>
      <c r="F48" s="355"/>
    </row>
    <row r="49" spans="1:6" ht="54" customHeight="1" x14ac:dyDescent="0.3">
      <c r="A49" s="355" t="s">
        <v>287</v>
      </c>
      <c r="B49" s="355"/>
      <c r="C49" s="355"/>
      <c r="D49" s="355"/>
      <c r="E49" s="355"/>
      <c r="F49" s="355"/>
    </row>
    <row r="50" spans="1:6" ht="69.75" customHeight="1" x14ac:dyDescent="0.3">
      <c r="A50" s="355" t="s">
        <v>288</v>
      </c>
      <c r="B50" s="355"/>
      <c r="C50" s="355"/>
      <c r="D50" s="355"/>
      <c r="E50" s="355"/>
      <c r="F50" s="355"/>
    </row>
    <row r="51" spans="1:6" ht="37.5" customHeight="1" x14ac:dyDescent="0.3">
      <c r="A51" s="355" t="s">
        <v>289</v>
      </c>
      <c r="B51" s="355"/>
      <c r="C51" s="355"/>
      <c r="D51" s="355"/>
      <c r="E51" s="355"/>
      <c r="F51" s="355"/>
    </row>
    <row r="52" spans="1:6" ht="37.5" customHeight="1" x14ac:dyDescent="0.3">
      <c r="A52" s="355" t="s">
        <v>290</v>
      </c>
      <c r="B52" s="355"/>
      <c r="C52" s="355"/>
      <c r="D52" s="355"/>
      <c r="E52" s="355"/>
      <c r="F52" s="355"/>
    </row>
    <row r="53" spans="1:6" ht="21.75" customHeight="1" x14ac:dyDescent="0.3">
      <c r="A53" s="356" t="s">
        <v>291</v>
      </c>
      <c r="B53" s="356"/>
      <c r="C53" s="356"/>
      <c r="D53" s="356"/>
      <c r="E53" s="356"/>
      <c r="F53" s="356"/>
    </row>
    <row r="54" spans="1:6" ht="37.5" customHeight="1" x14ac:dyDescent="0.3">
      <c r="A54" s="355" t="s">
        <v>292</v>
      </c>
      <c r="B54" s="355"/>
      <c r="C54" s="355"/>
      <c r="D54" s="355"/>
      <c r="E54" s="355"/>
      <c r="F54" s="355"/>
    </row>
    <row r="55" spans="1:6" ht="37.5" customHeight="1" x14ac:dyDescent="0.3">
      <c r="A55" s="355" t="s">
        <v>293</v>
      </c>
      <c r="B55" s="355"/>
      <c r="C55" s="355"/>
      <c r="D55" s="355"/>
      <c r="E55" s="355"/>
      <c r="F55" s="355"/>
    </row>
    <row r="56" spans="1:6" ht="37.5" customHeight="1" x14ac:dyDescent="0.3">
      <c r="A56" s="355" t="s">
        <v>294</v>
      </c>
      <c r="B56" s="355"/>
      <c r="C56" s="355"/>
      <c r="D56" s="355"/>
      <c r="E56" s="355"/>
      <c r="F56" s="355"/>
    </row>
    <row r="57" spans="1:6" ht="37.5" customHeight="1" x14ac:dyDescent="0.3">
      <c r="A57" s="355" t="s">
        <v>295</v>
      </c>
      <c r="B57" s="355"/>
      <c r="C57" s="355"/>
      <c r="D57" s="355"/>
      <c r="E57" s="355"/>
      <c r="F57" s="355"/>
    </row>
    <row r="58" spans="1:6" ht="37.5" customHeight="1" x14ac:dyDescent="0.3">
      <c r="A58" s="355" t="s">
        <v>296</v>
      </c>
      <c r="B58" s="355"/>
      <c r="C58" s="355"/>
      <c r="D58" s="355"/>
      <c r="E58" s="355"/>
      <c r="F58" s="355"/>
    </row>
    <row r="59" spans="1:6" ht="54" customHeight="1" x14ac:dyDescent="0.3">
      <c r="A59" s="355" t="s">
        <v>297</v>
      </c>
      <c r="B59" s="355"/>
      <c r="C59" s="355"/>
      <c r="D59" s="355"/>
      <c r="E59" s="355"/>
      <c r="F59" s="355"/>
    </row>
    <row r="61" spans="1:6" ht="21.75" customHeight="1" x14ac:dyDescent="0.3">
      <c r="A61" s="355" t="s">
        <v>298</v>
      </c>
      <c r="B61" s="355"/>
      <c r="C61" s="355"/>
      <c r="D61" s="355"/>
      <c r="E61" s="355" t="s">
        <v>299</v>
      </c>
      <c r="F61" s="355"/>
    </row>
    <row r="62" spans="1:6" ht="21.75" customHeight="1" x14ac:dyDescent="0.3">
      <c r="A62" s="355" t="s">
        <v>300</v>
      </c>
      <c r="B62" s="355"/>
      <c r="C62" s="355"/>
      <c r="D62" s="355"/>
      <c r="E62" s="355" t="s">
        <v>301</v>
      </c>
      <c r="F62" s="355"/>
    </row>
    <row r="63" spans="1:6" ht="21.75" customHeight="1" x14ac:dyDescent="0.3">
      <c r="A63" s="355" t="s">
        <v>302</v>
      </c>
      <c r="B63" s="355"/>
      <c r="C63" s="355"/>
      <c r="D63" s="355"/>
      <c r="E63" s="355" t="s">
        <v>303</v>
      </c>
      <c r="F63" s="355"/>
    </row>
    <row r="64" spans="1:6" ht="37.5" customHeight="1" x14ac:dyDescent="0.3">
      <c r="A64" s="355" t="s">
        <v>304</v>
      </c>
      <c r="B64" s="355"/>
      <c r="C64" s="355"/>
      <c r="D64" s="355"/>
      <c r="E64" s="355"/>
      <c r="F64" s="355"/>
    </row>
    <row r="65" spans="1:6" ht="85.5" customHeight="1" x14ac:dyDescent="0.3">
      <c r="A65" s="355" t="s">
        <v>305</v>
      </c>
      <c r="B65" s="355"/>
      <c r="C65" s="355"/>
      <c r="D65" s="355"/>
      <c r="E65" s="355"/>
      <c r="F65" s="355"/>
    </row>
    <row r="66" spans="1:6" ht="54" customHeight="1" x14ac:dyDescent="0.3">
      <c r="A66" s="355" t="s">
        <v>306</v>
      </c>
      <c r="B66" s="355"/>
      <c r="C66" s="355"/>
      <c r="D66" s="355"/>
      <c r="E66" s="355"/>
      <c r="F66" s="355"/>
    </row>
    <row r="67" spans="1:6" ht="37.5" customHeight="1" x14ac:dyDescent="0.3">
      <c r="A67" s="355" t="s">
        <v>307</v>
      </c>
      <c r="B67" s="355"/>
      <c r="C67" s="355"/>
      <c r="D67" s="355"/>
      <c r="E67" s="355"/>
      <c r="F67" s="355"/>
    </row>
    <row r="68" spans="1:6" ht="21.75" customHeight="1" x14ac:dyDescent="0.3">
      <c r="A68" s="356" t="s">
        <v>308</v>
      </c>
      <c r="B68" s="356"/>
      <c r="C68" s="356"/>
      <c r="D68" s="356"/>
      <c r="E68" s="356"/>
      <c r="F68" s="356"/>
    </row>
    <row r="69" spans="1:6" ht="54" customHeight="1" x14ac:dyDescent="0.3">
      <c r="A69" s="355" t="s">
        <v>309</v>
      </c>
      <c r="B69" s="355"/>
      <c r="C69" s="355"/>
      <c r="D69" s="355"/>
      <c r="E69" s="355"/>
      <c r="F69" s="355"/>
    </row>
    <row r="70" spans="1:6" ht="37.5" customHeight="1" x14ac:dyDescent="0.3">
      <c r="A70" s="355" t="s">
        <v>310</v>
      </c>
      <c r="B70" s="355"/>
      <c r="C70" s="355"/>
      <c r="D70" s="355"/>
      <c r="E70" s="355"/>
      <c r="F70" s="355"/>
    </row>
    <row r="71" spans="1:6" ht="69.75" customHeight="1" x14ac:dyDescent="0.3">
      <c r="A71" s="355" t="s">
        <v>311</v>
      </c>
      <c r="B71" s="355"/>
      <c r="C71" s="355"/>
      <c r="D71" s="355"/>
      <c r="E71" s="355"/>
      <c r="F71" s="355"/>
    </row>
    <row r="72" spans="1:6" ht="85.5" customHeight="1" x14ac:dyDescent="0.3">
      <c r="A72" s="355" t="s">
        <v>312</v>
      </c>
      <c r="B72" s="355"/>
      <c r="C72" s="355"/>
      <c r="D72" s="355"/>
      <c r="E72" s="355"/>
      <c r="F72" s="355"/>
    </row>
    <row r="73" spans="1:6" ht="37.5" customHeight="1" x14ac:dyDescent="0.3">
      <c r="A73" s="355" t="s">
        <v>313</v>
      </c>
      <c r="B73" s="355"/>
      <c r="C73" s="355"/>
      <c r="D73" s="355"/>
      <c r="E73" s="355"/>
      <c r="F73" s="355"/>
    </row>
    <row r="75" spans="1:6" ht="21.75" customHeight="1" x14ac:dyDescent="0.3">
      <c r="A75" s="356" t="s">
        <v>314</v>
      </c>
      <c r="B75" s="356"/>
      <c r="C75" s="356"/>
      <c r="D75" s="356"/>
      <c r="E75" s="356"/>
      <c r="F75" s="356"/>
    </row>
    <row r="76" spans="1:6" ht="21.75" customHeight="1" x14ac:dyDescent="0.3">
      <c r="A76" s="355" t="s">
        <v>315</v>
      </c>
      <c r="B76" s="355"/>
      <c r="C76" s="355"/>
      <c r="D76" s="355"/>
      <c r="E76" s="355"/>
      <c r="F76" s="355"/>
    </row>
    <row r="77" spans="1:6" ht="37.5" customHeight="1" x14ac:dyDescent="0.3">
      <c r="A77" s="355" t="s">
        <v>316</v>
      </c>
      <c r="B77" s="355"/>
      <c r="C77" s="355"/>
      <c r="D77" s="355"/>
      <c r="E77" s="355"/>
      <c r="F77" s="355"/>
    </row>
    <row r="78" spans="1:6" ht="37.5" customHeight="1" x14ac:dyDescent="0.3">
      <c r="A78" s="355" t="s">
        <v>317</v>
      </c>
      <c r="B78" s="355"/>
      <c r="C78" s="355"/>
      <c r="D78" s="355"/>
      <c r="E78" s="355"/>
      <c r="F78" s="355"/>
    </row>
    <row r="79" spans="1:6" ht="21.75" customHeight="1" x14ac:dyDescent="0.3">
      <c r="A79" s="355" t="s">
        <v>318</v>
      </c>
      <c r="B79" s="355"/>
      <c r="C79" s="355"/>
      <c r="D79" s="355"/>
      <c r="E79" s="355"/>
      <c r="F79" s="355"/>
    </row>
    <row r="80" spans="1:6" ht="37.5" customHeight="1" x14ac:dyDescent="0.3">
      <c r="A80" s="355" t="s">
        <v>319</v>
      </c>
      <c r="B80" s="355"/>
      <c r="C80" s="355"/>
      <c r="D80" s="355"/>
      <c r="E80" s="355"/>
      <c r="F80" s="355"/>
    </row>
    <row r="81" spans="1:6" ht="37.5" customHeight="1" x14ac:dyDescent="0.3">
      <c r="A81" s="355" t="s">
        <v>320</v>
      </c>
      <c r="B81" s="355"/>
      <c r="C81" s="355"/>
      <c r="D81" s="355"/>
      <c r="E81" s="355"/>
      <c r="F81" s="355"/>
    </row>
    <row r="82" spans="1:6" ht="54" customHeight="1" x14ac:dyDescent="0.3">
      <c r="A82" s="355" t="s">
        <v>321</v>
      </c>
      <c r="B82" s="355"/>
      <c r="C82" s="355"/>
      <c r="D82" s="355"/>
      <c r="E82" s="355"/>
      <c r="F82" s="355"/>
    </row>
    <row r="84" spans="1:6" ht="21.75" customHeight="1" x14ac:dyDescent="0.3">
      <c r="A84" s="356" t="s">
        <v>322</v>
      </c>
      <c r="B84" s="356"/>
      <c r="C84" s="356"/>
      <c r="D84" s="356"/>
      <c r="E84" s="356"/>
      <c r="F84" s="356"/>
    </row>
    <row r="85" spans="1:6" ht="54" customHeight="1" x14ac:dyDescent="0.3">
      <c r="A85" s="355" t="s">
        <v>323</v>
      </c>
      <c r="B85" s="355"/>
      <c r="C85" s="355"/>
      <c r="D85" s="355"/>
      <c r="E85" s="355"/>
      <c r="F85" s="355"/>
    </row>
    <row r="86" spans="1:6" ht="21.75" customHeight="1" x14ac:dyDescent="0.3">
      <c r="A86" s="355" t="s">
        <v>324</v>
      </c>
      <c r="B86" s="355"/>
      <c r="C86" s="355"/>
      <c r="D86" s="355"/>
      <c r="E86" s="355"/>
      <c r="F86" s="355"/>
    </row>
    <row r="87" spans="1:6" ht="21.75" customHeight="1" x14ac:dyDescent="0.3">
      <c r="A87" s="355" t="s">
        <v>325</v>
      </c>
      <c r="B87" s="355"/>
      <c r="C87" s="355"/>
      <c r="D87" s="355"/>
      <c r="E87" s="355"/>
      <c r="F87" s="355"/>
    </row>
    <row r="88" spans="1:6" ht="21.75" customHeight="1" x14ac:dyDescent="0.3">
      <c r="A88" s="355" t="s">
        <v>326</v>
      </c>
      <c r="B88" s="355"/>
      <c r="C88" s="355"/>
      <c r="D88" s="355"/>
      <c r="E88" s="355"/>
      <c r="F88" s="355"/>
    </row>
    <row r="89" spans="1:6" ht="21.75" customHeight="1" x14ac:dyDescent="0.3">
      <c r="A89" s="355" t="s">
        <v>327</v>
      </c>
      <c r="B89" s="355"/>
      <c r="C89" s="355"/>
      <c r="D89" s="355"/>
      <c r="E89" s="355"/>
      <c r="F89" s="355"/>
    </row>
    <row r="90" spans="1:6" ht="21.75" customHeight="1" x14ac:dyDescent="0.3">
      <c r="A90" s="355" t="s">
        <v>328</v>
      </c>
      <c r="B90" s="355"/>
      <c r="C90" s="355"/>
      <c r="D90" s="355"/>
      <c r="E90" s="355"/>
      <c r="F90" s="355"/>
    </row>
    <row r="91" spans="1:6" ht="21.75" customHeight="1" x14ac:dyDescent="0.3">
      <c r="A91" s="355" t="s">
        <v>329</v>
      </c>
      <c r="B91" s="355"/>
      <c r="C91" s="355"/>
      <c r="D91" s="355"/>
      <c r="E91" s="355"/>
      <c r="F91" s="355"/>
    </row>
    <row r="92" spans="1:6" ht="37.5" customHeight="1" x14ac:dyDescent="0.3">
      <c r="A92" s="355" t="s">
        <v>330</v>
      </c>
      <c r="B92" s="355"/>
      <c r="C92" s="355"/>
      <c r="D92" s="355"/>
      <c r="E92" s="355"/>
      <c r="F92" s="355"/>
    </row>
    <row r="93" spans="1:6" ht="37.5" customHeight="1" x14ac:dyDescent="0.3">
      <c r="A93" s="355" t="s">
        <v>331</v>
      </c>
      <c r="B93" s="355"/>
      <c r="C93" s="355"/>
      <c r="D93" s="355"/>
      <c r="E93" s="355"/>
      <c r="F93" s="355"/>
    </row>
    <row r="95" spans="1:6" ht="21.75" customHeight="1" x14ac:dyDescent="0.3">
      <c r="A95" s="356" t="s">
        <v>332</v>
      </c>
      <c r="B95" s="356"/>
      <c r="C95" s="356"/>
      <c r="D95" s="356"/>
      <c r="E95" s="356"/>
      <c r="F95" s="356"/>
    </row>
    <row r="96" spans="1:6" ht="21.75" customHeight="1" x14ac:dyDescent="0.3">
      <c r="A96" s="355" t="s">
        <v>333</v>
      </c>
      <c r="B96" s="355"/>
      <c r="C96" s="355"/>
      <c r="D96" s="355"/>
      <c r="E96" s="355"/>
      <c r="F96" s="355"/>
    </row>
    <row r="97" spans="1:6" ht="37.5" customHeight="1" x14ac:dyDescent="0.3">
      <c r="A97" s="355" t="s">
        <v>334</v>
      </c>
      <c r="B97" s="355"/>
      <c r="C97" s="355"/>
      <c r="D97" s="355"/>
      <c r="E97" s="355"/>
      <c r="F97" s="355"/>
    </row>
    <row r="98" spans="1:6" ht="54" customHeight="1" x14ac:dyDescent="0.3">
      <c r="A98" s="355" t="s">
        <v>335</v>
      </c>
      <c r="B98" s="355"/>
      <c r="C98" s="355"/>
      <c r="D98" s="355"/>
      <c r="E98" s="355"/>
      <c r="F98" s="355"/>
    </row>
    <row r="99" spans="1:6" ht="21.75" customHeight="1" x14ac:dyDescent="0.3">
      <c r="A99" s="355" t="s">
        <v>336</v>
      </c>
      <c r="B99" s="355"/>
      <c r="C99" s="355"/>
      <c r="D99" s="355"/>
      <c r="E99" s="355"/>
      <c r="F99" s="355"/>
    </row>
    <row r="100" spans="1:6" ht="37.5" customHeight="1" x14ac:dyDescent="0.3">
      <c r="A100" s="355" t="s">
        <v>337</v>
      </c>
      <c r="B100" s="355"/>
      <c r="C100" s="355"/>
      <c r="D100" s="355"/>
      <c r="E100" s="355"/>
      <c r="F100" s="355"/>
    </row>
    <row r="101" spans="1:6" ht="21.75" customHeight="1" x14ac:dyDescent="0.3">
      <c r="A101" s="355" t="s">
        <v>338</v>
      </c>
      <c r="B101" s="355"/>
      <c r="C101" s="355"/>
      <c r="D101" s="355"/>
      <c r="E101" s="355"/>
      <c r="F101" s="355"/>
    </row>
    <row r="102" spans="1:6" ht="21.75" customHeight="1" x14ac:dyDescent="0.3">
      <c r="A102" s="355" t="s">
        <v>339</v>
      </c>
      <c r="B102" s="355"/>
      <c r="C102" s="355"/>
      <c r="D102" s="355"/>
      <c r="E102" s="355"/>
      <c r="F102" s="355"/>
    </row>
    <row r="103" spans="1:6" ht="21.75" customHeight="1" x14ac:dyDescent="0.3">
      <c r="A103" s="355" t="s">
        <v>340</v>
      </c>
      <c r="B103" s="355"/>
      <c r="C103" s="355"/>
      <c r="D103" s="355"/>
      <c r="E103" s="355"/>
      <c r="F103" s="355"/>
    </row>
    <row r="104" spans="1:6" ht="54" customHeight="1" x14ac:dyDescent="0.3">
      <c r="A104" s="355" t="s">
        <v>341</v>
      </c>
      <c r="B104" s="355"/>
      <c r="C104" s="355"/>
      <c r="D104" s="355"/>
      <c r="E104" s="355"/>
      <c r="F104" s="355"/>
    </row>
    <row r="105" spans="1:6" ht="37.5" customHeight="1" x14ac:dyDescent="0.3">
      <c r="A105" s="355" t="s">
        <v>342</v>
      </c>
      <c r="B105" s="355"/>
      <c r="C105" s="355"/>
      <c r="D105" s="355"/>
      <c r="E105" s="355"/>
      <c r="F105" s="355"/>
    </row>
    <row r="106" spans="1:6" ht="21.75" customHeight="1" x14ac:dyDescent="0.3">
      <c r="A106" s="355" t="s">
        <v>343</v>
      </c>
      <c r="B106" s="355"/>
      <c r="C106" s="355"/>
      <c r="D106" s="355"/>
      <c r="E106" s="355"/>
      <c r="F106" s="355"/>
    </row>
    <row r="107" spans="1:6" ht="37.5" customHeight="1" x14ac:dyDescent="0.3">
      <c r="A107" s="355" t="s">
        <v>344</v>
      </c>
      <c r="B107" s="355"/>
      <c r="C107" s="355"/>
      <c r="D107" s="355"/>
      <c r="E107" s="355"/>
      <c r="F107" s="355"/>
    </row>
    <row r="108" spans="1:6" ht="37.5" customHeight="1" x14ac:dyDescent="0.3">
      <c r="A108" s="355" t="s">
        <v>345</v>
      </c>
      <c r="B108" s="355"/>
      <c r="C108" s="355"/>
      <c r="D108" s="355"/>
      <c r="E108" s="355"/>
      <c r="F108" s="355"/>
    </row>
    <row r="109" spans="1:6" ht="37.5" customHeight="1" x14ac:dyDescent="0.3">
      <c r="A109" s="355" t="s">
        <v>346</v>
      </c>
      <c r="B109" s="355"/>
      <c r="C109" s="355"/>
      <c r="D109" s="355"/>
      <c r="E109" s="355"/>
      <c r="F109" s="355"/>
    </row>
    <row r="111" spans="1:6" ht="21.75" customHeight="1" x14ac:dyDescent="0.3">
      <c r="A111" s="356" t="s">
        <v>347</v>
      </c>
      <c r="B111" s="356"/>
      <c r="C111" s="356"/>
      <c r="D111" s="356"/>
      <c r="E111" s="356"/>
      <c r="F111" s="356"/>
    </row>
    <row r="112" spans="1:6" ht="85.5" customHeight="1" x14ac:dyDescent="0.3">
      <c r="A112" s="355" t="s">
        <v>348</v>
      </c>
      <c r="B112" s="355"/>
      <c r="C112" s="355"/>
      <c r="D112" s="355"/>
      <c r="E112" s="355"/>
      <c r="F112" s="355"/>
    </row>
    <row r="113" spans="1:6" ht="102" customHeight="1" x14ac:dyDescent="0.3">
      <c r="A113" s="355" t="s">
        <v>349</v>
      </c>
      <c r="B113" s="355"/>
      <c r="C113" s="355"/>
      <c r="D113" s="355"/>
      <c r="E113" s="355"/>
      <c r="F113" s="355"/>
    </row>
    <row r="115" spans="1:6" ht="21.75" customHeight="1" x14ac:dyDescent="0.3">
      <c r="A115" s="356" t="s">
        <v>350</v>
      </c>
      <c r="B115" s="356"/>
      <c r="C115" s="356"/>
      <c r="D115" s="356"/>
      <c r="E115" s="356"/>
      <c r="F115" s="356"/>
    </row>
    <row r="116" spans="1:6" ht="37.5" customHeight="1" x14ac:dyDescent="0.3">
      <c r="A116" s="355" t="s">
        <v>351</v>
      </c>
      <c r="B116" s="355"/>
      <c r="C116" s="355"/>
      <c r="D116" s="355"/>
      <c r="E116" s="355"/>
      <c r="F116" s="355"/>
    </row>
    <row r="117" spans="1:6" ht="37.5" customHeight="1" x14ac:dyDescent="0.3">
      <c r="A117" s="355" t="s">
        <v>352</v>
      </c>
      <c r="B117" s="355"/>
      <c r="C117" s="355"/>
      <c r="D117" s="355"/>
      <c r="E117" s="355"/>
      <c r="F117" s="355"/>
    </row>
    <row r="118" spans="1:6" ht="54" customHeight="1" x14ac:dyDescent="0.3">
      <c r="A118" s="355" t="s">
        <v>353</v>
      </c>
      <c r="B118" s="355"/>
      <c r="C118" s="355"/>
      <c r="D118" s="355"/>
      <c r="E118" s="355"/>
      <c r="F118" s="355"/>
    </row>
    <row r="120" spans="1:6" ht="37.5" customHeight="1" x14ac:dyDescent="0.3">
      <c r="A120" s="355" t="s">
        <v>354</v>
      </c>
      <c r="B120" s="355"/>
      <c r="C120" s="355"/>
      <c r="D120" s="355"/>
      <c r="E120" s="355"/>
      <c r="F120" s="355"/>
    </row>
    <row r="122" spans="1:6" ht="21.75" customHeight="1" x14ac:dyDescent="0.3">
      <c r="A122" s="349" t="s">
        <v>355</v>
      </c>
      <c r="B122" s="349"/>
      <c r="C122" s="349"/>
      <c r="D122" s="349" t="s">
        <v>356</v>
      </c>
      <c r="E122" s="349"/>
      <c r="F122" s="349"/>
    </row>
    <row r="128" spans="1:6" ht="21.75" customHeight="1" x14ac:dyDescent="0.3">
      <c r="A128" s="353" t="s">
        <v>357</v>
      </c>
      <c r="B128" s="353"/>
      <c r="C128" s="353"/>
      <c r="D128" s="353" t="s">
        <v>358</v>
      </c>
      <c r="E128" s="353"/>
      <c r="F128" s="353"/>
    </row>
  </sheetData>
  <mergeCells count="120">
    <mergeCell ref="A113:F113"/>
    <mergeCell ref="A115:F115"/>
    <mergeCell ref="A116:F116"/>
    <mergeCell ref="A117:F117"/>
    <mergeCell ref="A118:F118"/>
    <mergeCell ref="A120:F120"/>
    <mergeCell ref="A122:C122"/>
    <mergeCell ref="D122:F122"/>
    <mergeCell ref="A128:C128"/>
    <mergeCell ref="D128:F128"/>
    <mergeCell ref="A103:F103"/>
    <mergeCell ref="A104:F104"/>
    <mergeCell ref="A105:F105"/>
    <mergeCell ref="A106:F106"/>
    <mergeCell ref="A107:F107"/>
    <mergeCell ref="A108:F108"/>
    <mergeCell ref="A109:F109"/>
    <mergeCell ref="A111:F111"/>
    <mergeCell ref="A112:F112"/>
    <mergeCell ref="A93:F93"/>
    <mergeCell ref="A95:F95"/>
    <mergeCell ref="A96:F96"/>
    <mergeCell ref="A97:F97"/>
    <mergeCell ref="A98:F98"/>
    <mergeCell ref="A99:F99"/>
    <mergeCell ref="A100:F100"/>
    <mergeCell ref="A101:F101"/>
    <mergeCell ref="A102:F102"/>
    <mergeCell ref="A84:F84"/>
    <mergeCell ref="A85:F85"/>
    <mergeCell ref="A86:F86"/>
    <mergeCell ref="A87:F87"/>
    <mergeCell ref="A88:F88"/>
    <mergeCell ref="A89:F89"/>
    <mergeCell ref="A90:F90"/>
    <mergeCell ref="A91:F91"/>
    <mergeCell ref="A92:F92"/>
    <mergeCell ref="A73:F73"/>
    <mergeCell ref="A75:F75"/>
    <mergeCell ref="A76:F76"/>
    <mergeCell ref="A77:F77"/>
    <mergeCell ref="A78:F78"/>
    <mergeCell ref="A79:F79"/>
    <mergeCell ref="A80:F80"/>
    <mergeCell ref="A81:F81"/>
    <mergeCell ref="A82:F82"/>
    <mergeCell ref="A64:F64"/>
    <mergeCell ref="A65:F65"/>
    <mergeCell ref="A66:F66"/>
    <mergeCell ref="A67:F67"/>
    <mergeCell ref="A68:F68"/>
    <mergeCell ref="A69:F69"/>
    <mergeCell ref="A70:F70"/>
    <mergeCell ref="A71:F71"/>
    <mergeCell ref="A72:F72"/>
    <mergeCell ref="A57:F57"/>
    <mergeCell ref="A58:F58"/>
    <mergeCell ref="A59:F59"/>
    <mergeCell ref="A61:D61"/>
    <mergeCell ref="E61:F61"/>
    <mergeCell ref="A62:D62"/>
    <mergeCell ref="E62:F62"/>
    <mergeCell ref="A63:D63"/>
    <mergeCell ref="E63:F63"/>
    <mergeCell ref="A48:F48"/>
    <mergeCell ref="A49:F49"/>
    <mergeCell ref="A50:F50"/>
    <mergeCell ref="A51:F51"/>
    <mergeCell ref="A52:F52"/>
    <mergeCell ref="A53:F53"/>
    <mergeCell ref="A54:F54"/>
    <mergeCell ref="A55:F55"/>
    <mergeCell ref="A56:F56"/>
    <mergeCell ref="A39:F39"/>
    <mergeCell ref="A40:F40"/>
    <mergeCell ref="A41:F41"/>
    <mergeCell ref="A42:F42"/>
    <mergeCell ref="A43:F43"/>
    <mergeCell ref="A44:F44"/>
    <mergeCell ref="A45:F45"/>
    <mergeCell ref="A46:F46"/>
    <mergeCell ref="A47:F47"/>
    <mergeCell ref="A28:F28"/>
    <mergeCell ref="A30:F30"/>
    <mergeCell ref="A31:F31"/>
    <mergeCell ref="A32:F32"/>
    <mergeCell ref="A33:F33"/>
    <mergeCell ref="A34:F34"/>
    <mergeCell ref="A35:F35"/>
    <mergeCell ref="A37:F37"/>
    <mergeCell ref="A38:F38"/>
    <mergeCell ref="A18:F18"/>
    <mergeCell ref="A19:F19"/>
    <mergeCell ref="A21:F21"/>
    <mergeCell ref="A22:F22"/>
    <mergeCell ref="A23:F23"/>
    <mergeCell ref="A24:F24"/>
    <mergeCell ref="A25:F25"/>
    <mergeCell ref="A26:F26"/>
    <mergeCell ref="A27:F27"/>
    <mergeCell ref="A10:F10"/>
    <mergeCell ref="A11:F11"/>
    <mergeCell ref="A12:F12"/>
    <mergeCell ref="A13:F13"/>
    <mergeCell ref="A14:D14"/>
    <mergeCell ref="E14:F14"/>
    <mergeCell ref="A15:F15"/>
    <mergeCell ref="A16:F16"/>
    <mergeCell ref="A17:B17"/>
    <mergeCell ref="C17:F17"/>
    <mergeCell ref="A2:B2"/>
    <mergeCell ref="C2:F2"/>
    <mergeCell ref="A3:B3"/>
    <mergeCell ref="C3:F3"/>
    <mergeCell ref="A4:B4"/>
    <mergeCell ref="C4:F4"/>
    <mergeCell ref="A6:F6"/>
    <mergeCell ref="A8:F8"/>
    <mergeCell ref="A9:D9"/>
    <mergeCell ref="E9:F9"/>
  </mergeCells>
  <pageMargins left="1.1798611111111099" right="0.79027777777777797" top="0.97986111111111096" bottom="0.97986111111111096" header="0.511811023622047" footer="0.3"/>
  <pageSetup paperSize="9" fitToHeight="0" orientation="portrait" horizontalDpi="300" verticalDpi="300"/>
  <headerFooter>
    <oddFooter>&amp;CTrang &amp;P/&amp;N</oddFooter>
  </headerFooter>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pageSetUpPr fitToPage="1"/>
  </sheetPr>
  <dimension ref="A1:N98"/>
  <sheetViews>
    <sheetView showGridLines="0" zoomScaleNormal="100" workbookViewId="0">
      <selection sqref="A1:B1"/>
    </sheetView>
  </sheetViews>
  <sheetFormatPr defaultColWidth="8.6640625" defaultRowHeight="14.4" x14ac:dyDescent="0.3"/>
  <cols>
    <col min="1" max="1" width="16" customWidth="1"/>
    <col min="2" max="2" width="17.6640625" customWidth="1"/>
    <col min="3" max="5" width="15" customWidth="1"/>
    <col min="6" max="6" width="14" customWidth="1"/>
    <col min="9" max="13" width="24.109375" customWidth="1"/>
  </cols>
  <sheetData>
    <row r="1" spans="1:14" ht="14.25" customHeight="1" x14ac:dyDescent="0.3">
      <c r="A1" s="357" t="s">
        <v>2018</v>
      </c>
      <c r="B1" s="357"/>
      <c r="C1" s="349" t="s">
        <v>244</v>
      </c>
      <c r="D1" s="349"/>
      <c r="E1" s="349"/>
      <c r="F1" s="349"/>
      <c r="H1" s="261" t="s">
        <v>359</v>
      </c>
    </row>
    <row r="2" spans="1:14" ht="14.25" customHeight="1" x14ac:dyDescent="0.3">
      <c r="A2" s="358" t="s">
        <v>360</v>
      </c>
      <c r="B2" s="358"/>
      <c r="C2" s="351" t="s">
        <v>246</v>
      </c>
      <c r="D2" s="351"/>
      <c r="E2" s="351"/>
      <c r="F2" s="351"/>
      <c r="H2" s="258" t="s">
        <v>225</v>
      </c>
      <c r="I2" s="258">
        <f>$M$2</f>
        <v>0</v>
      </c>
      <c r="K2" s="262" t="s">
        <v>245</v>
      </c>
      <c r="M2" s="263"/>
      <c r="N2" s="264" t="str">
        <f>IF($M$2="","",IFERROR("Đã chọn: "&amp;$I$3&amp;" - "&amp;$I$4,"⚠ Không tìm thấy Mã NV trong sheet DS số TKNH"))</f>
        <v/>
      </c>
    </row>
    <row r="3" spans="1:14" ht="14.25" customHeight="1" x14ac:dyDescent="0.3">
      <c r="H3" s="258" t="s">
        <v>251</v>
      </c>
      <c r="I3" s="258" t="str">
        <f>IFERROR(INDEX('DS số TKNH'!$B:$B,MATCH($M$2,'DS số TKNH'!$D:$D,0)),"")</f>
        <v/>
      </c>
    </row>
    <row r="4" spans="1:14" ht="14.25" customHeight="1" x14ac:dyDescent="0.3">
      <c r="H4" s="258" t="s">
        <v>197</v>
      </c>
      <c r="I4" s="258" t="str">
        <f>IFERROR(INDEX('DS số TKNH'!$C:$C,MATCH($M$2,'DS số TKNH'!$D:$D,0)),"")</f>
        <v/>
      </c>
    </row>
    <row r="5" spans="1:14" ht="14.25" customHeight="1" x14ac:dyDescent="0.3">
      <c r="A5" s="359" t="s">
        <v>361</v>
      </c>
      <c r="B5" s="359"/>
      <c r="C5" s="359"/>
      <c r="D5" s="359"/>
      <c r="E5" s="359"/>
      <c r="F5" s="359"/>
      <c r="H5" s="258" t="s">
        <v>226</v>
      </c>
      <c r="I5" s="259" t="str">
        <f>IFERROR(INDEX('DS số TKNH'!$E:$E,MATCH($M$2,'DS số TKNH'!$D:$D,0)),"")</f>
        <v/>
      </c>
    </row>
    <row r="6" spans="1:14" ht="14.25" customHeight="1" x14ac:dyDescent="0.3">
      <c r="H6" s="258" t="s">
        <v>227</v>
      </c>
      <c r="I6" s="258" t="str">
        <f>IFERROR(INDEX('DS số TKNH'!$F:$F,MATCH($M$2,'DS số TKNH'!$D:$D,0)),"")</f>
        <v/>
      </c>
    </row>
    <row r="7" spans="1:14" ht="21.75" customHeight="1" x14ac:dyDescent="0.3">
      <c r="A7" s="360" t="s">
        <v>362</v>
      </c>
      <c r="B7" s="360"/>
      <c r="C7" s="360"/>
      <c r="D7" s="360"/>
      <c r="E7" s="360"/>
      <c r="F7" s="360"/>
      <c r="H7" s="258" t="s">
        <v>228</v>
      </c>
      <c r="I7" s="258" t="str">
        <f>IFERROR(INDEX('DS số TKNH'!$G:$G,MATCH($M$2,'DS số TKNH'!$D:$D,0)),"")</f>
        <v/>
      </c>
    </row>
    <row r="8" spans="1:14" ht="21.75" customHeight="1" x14ac:dyDescent="0.3">
      <c r="A8" s="354" t="s">
        <v>250</v>
      </c>
      <c r="B8" s="354"/>
      <c r="C8" s="354"/>
      <c r="D8" s="354"/>
      <c r="E8" s="354"/>
      <c r="F8" s="354"/>
      <c r="H8" s="258" t="s">
        <v>257</v>
      </c>
      <c r="I8" s="259" t="str">
        <f>IFERROR(INDEX('DS số TKNH'!$H:$H,MATCH($M$2,'DS số TKNH'!$D:$D,0)),"")</f>
        <v/>
      </c>
    </row>
    <row r="9" spans="1:14" ht="21.75" customHeight="1" x14ac:dyDescent="0.3">
      <c r="A9" s="355" t="s">
        <v>363</v>
      </c>
      <c r="B9" s="355"/>
      <c r="C9" s="355"/>
      <c r="D9" s="355"/>
      <c r="E9" s="355"/>
      <c r="F9" s="355"/>
      <c r="H9" s="258" t="s">
        <v>230</v>
      </c>
      <c r="I9" s="258" t="str">
        <f>IFERROR(INDEX('DS số TKNH'!$I:$I,MATCH($M$2,'DS số TKNH'!$D:$D,0)),"")</f>
        <v/>
      </c>
    </row>
    <row r="10" spans="1:14" ht="21.75" customHeight="1" x14ac:dyDescent="0.3">
      <c r="A10" s="355" t="s">
        <v>364</v>
      </c>
      <c r="B10" s="355"/>
      <c r="C10" s="355"/>
      <c r="D10" s="355"/>
      <c r="E10" s="355"/>
      <c r="F10" s="355"/>
      <c r="H10" s="258" t="s">
        <v>260</v>
      </c>
      <c r="I10" s="258" t="str">
        <f>IFERROR(INDEX('DS số TKNH'!$J:$J,MATCH($M$2,'DS số TKNH'!$D:$D,0)),"")</f>
        <v/>
      </c>
    </row>
    <row r="11" spans="1:14" ht="21.75" customHeight="1" x14ac:dyDescent="0.3">
      <c r="A11" s="355" t="s">
        <v>365</v>
      </c>
      <c r="B11" s="355"/>
      <c r="C11" s="355"/>
      <c r="D11" s="355"/>
      <c r="E11" s="355"/>
      <c r="F11" s="355"/>
      <c r="H11" s="258" t="s">
        <v>261</v>
      </c>
      <c r="I11" s="258" t="str">
        <f>IFERROR(INDEX('DS số TKNH'!$K:$K,MATCH($M$2,'DS số TKNH'!$D:$D,0)),"")</f>
        <v/>
      </c>
    </row>
    <row r="12" spans="1:14" ht="21.75" customHeight="1" x14ac:dyDescent="0.3">
      <c r="A12" s="355" t="s">
        <v>366</v>
      </c>
      <c r="B12" s="355"/>
      <c r="C12" s="355"/>
      <c r="D12" s="355"/>
      <c r="E12" s="355"/>
      <c r="F12" s="355"/>
      <c r="H12" s="258" t="s">
        <v>233</v>
      </c>
      <c r="I12" s="258" t="str">
        <f>IFERROR(INDEX('DS số TKNH'!$L:$L,MATCH($M$2,'DS số TKNH'!$D:$D,0)),"")</f>
        <v/>
      </c>
    </row>
    <row r="13" spans="1:14" ht="21.75" customHeight="1" x14ac:dyDescent="0.3">
      <c r="A13" s="355" t="s">
        <v>367</v>
      </c>
      <c r="B13" s="355"/>
      <c r="C13" s="355"/>
      <c r="D13" s="355"/>
      <c r="E13" s="355"/>
      <c r="F13" s="355"/>
      <c r="H13" s="258" t="s">
        <v>234</v>
      </c>
      <c r="I13" s="259" t="str">
        <f>IFERROR(INDEX('DS số TKNH'!$M:$M,MATCH($M$2,'DS số TKNH'!$D:$D,0)),"")</f>
        <v/>
      </c>
    </row>
    <row r="14" spans="1:14" ht="21.75" customHeight="1" x14ac:dyDescent="0.3">
      <c r="A14" s="355" t="str">
        <f>"Và một bên là: Ông/Bà "&amp;$I$3&amp;"      Quốc tịch: Việt Nam"</f>
        <v>Và một bên là: Ông/Bà       Quốc tịch: Việt Nam</v>
      </c>
      <c r="B14" s="355"/>
      <c r="C14" s="355"/>
      <c r="D14" s="355"/>
      <c r="E14" s="355"/>
      <c r="F14" s="355"/>
      <c r="H14" s="258" t="s">
        <v>235</v>
      </c>
      <c r="I14" s="258" t="str">
        <f>IFERROR(INDEX('DS số TKNH'!$N:$N,MATCH($M$2,'DS số TKNH'!$D:$D,0)),"")</f>
        <v/>
      </c>
    </row>
    <row r="15" spans="1:14" ht="21.75" customHeight="1" x14ac:dyDescent="0.3">
      <c r="A15" s="355" t="str">
        <f>"Năm sinh: "&amp;IF($I$5="","………………………………..",TEXT($I$5,"dd/mm/yyyy"))</f>
        <v>Năm sinh: ………………………………..</v>
      </c>
      <c r="B15" s="355"/>
      <c r="C15" s="355"/>
      <c r="D15" s="355"/>
      <c r="E15" s="355"/>
      <c r="F15" s="355"/>
      <c r="H15" s="258" t="s">
        <v>263</v>
      </c>
      <c r="I15" s="260" t="str">
        <f>IFERROR(INDEX('Mức lương'!$D:$D,MATCH($I$3,'Mức lương'!$B:$B,0)),"")</f>
        <v/>
      </c>
    </row>
    <row r="16" spans="1:14" ht="21.75" customHeight="1" x14ac:dyDescent="0.3">
      <c r="A16" s="355" t="str">
        <f>"1. Địa chỉ thường trú: "&amp;IF($I$10="","……………………………….",$I$10)</f>
        <v>1. Địa chỉ thường trú: ……………………………….</v>
      </c>
      <c r="B16" s="355"/>
      <c r="C16" s="355"/>
      <c r="D16" s="355"/>
      <c r="E16" s="355"/>
      <c r="F16" s="355"/>
    </row>
    <row r="17" spans="1:6" ht="21.75" customHeight="1" x14ac:dyDescent="0.3">
      <c r="A17" s="355" t="str">
        <f>"2. Địa chỉ hiện tại: "&amp;IF($I$11="","…………………………….",$I$11)</f>
        <v>2. Địa chỉ hiện tại: …………………………….</v>
      </c>
      <c r="B17" s="355"/>
      <c r="C17" s="355"/>
      <c r="D17" s="355"/>
      <c r="E17" s="355"/>
      <c r="F17" s="355"/>
    </row>
    <row r="18" spans="1:6" ht="21.75" customHeight="1" x14ac:dyDescent="0.3">
      <c r="A18" s="355" t="str">
        <f>"3. Số CCCD: "&amp;IF($I$7="","…………………………..",$I$7)&amp;"      Ngày cấp: "&amp;IF($I$8="","………………………",TEXT($I$8,"dd/mm/yyyy"))</f>
        <v>3. Số CCCD: …………………………..      Ngày cấp: ………………………</v>
      </c>
      <c r="B18" s="355"/>
      <c r="C18" s="355"/>
      <c r="D18" s="355"/>
      <c r="E18" s="355"/>
      <c r="F18" s="355"/>
    </row>
    <row r="19" spans="1:6" ht="37.5" customHeight="1" x14ac:dyDescent="0.3">
      <c r="A19" s="355" t="str">
        <f>"4. Nơi cấp: "&amp;IF($I$9="","Cục Cảnh sát QLHC về TTXH",$I$9)</f>
        <v>4. Nơi cấp: Cục Cảnh sát QLHC về TTXH</v>
      </c>
      <c r="B19" s="355"/>
      <c r="C19" s="355"/>
      <c r="D19" s="355"/>
      <c r="E19" s="355"/>
      <c r="F19" s="355"/>
    </row>
    <row r="20" spans="1:6" ht="21.75" customHeight="1" x14ac:dyDescent="0.3">
      <c r="A20" s="355" t="str">
        <f>"Số điện thoại: "&amp;IF($I$12="","……………………………………….",$I$12)</f>
        <v>Số điện thoại: ……………………………………….</v>
      </c>
      <c r="B20" s="355"/>
      <c r="C20" s="355"/>
      <c r="D20" s="355"/>
      <c r="E20" s="355"/>
      <c r="F20" s="355"/>
    </row>
    <row r="21" spans="1:6" ht="37.5" customHeight="1" x14ac:dyDescent="0.3">
      <c r="A21" s="355" t="s">
        <v>368</v>
      </c>
      <c r="B21" s="355"/>
      <c r="C21" s="355"/>
      <c r="D21" s="355"/>
      <c r="E21" s="355"/>
      <c r="F21" s="355"/>
    </row>
    <row r="22" spans="1:6" ht="21.75" customHeight="1" x14ac:dyDescent="0.3">
      <c r="A22" s="356" t="s">
        <v>265</v>
      </c>
      <c r="B22" s="356"/>
      <c r="C22" s="356"/>
      <c r="D22" s="356"/>
      <c r="E22" s="356"/>
      <c r="F22" s="356"/>
    </row>
    <row r="23" spans="1:6" ht="37.5" customHeight="1" x14ac:dyDescent="0.3">
      <c r="A23" s="355" t="str">
        <f>"Loại hợp đồng Lao động: Hợp đồng lao động "&amp;IF($I$14="","không xác định thời hạn",LOWER($I$14))</f>
        <v>Loại hợp đồng Lao động: Hợp đồng lao động không xác định thời hạn</v>
      </c>
      <c r="B23" s="355"/>
      <c r="C23" s="355"/>
      <c r="D23" s="355"/>
      <c r="E23" s="355"/>
      <c r="F23" s="355"/>
    </row>
    <row r="24" spans="1:6" ht="21.75" customHeight="1" x14ac:dyDescent="0.3">
      <c r="A24" s="355" t="str">
        <f>"Từ ngày: "&amp;IF($I$13="","01/06/2025",TEXT($I$13,"dd/mm/yyyy"))</f>
        <v>Từ ngày: 01/06/2025</v>
      </c>
      <c r="B24" s="355"/>
      <c r="C24" s="355"/>
      <c r="D24" s="355"/>
      <c r="E24" s="355"/>
      <c r="F24" s="355"/>
    </row>
    <row r="25" spans="1:6" ht="37.5" customHeight="1" x14ac:dyDescent="0.3">
      <c r="A25" s="355" t="s">
        <v>369</v>
      </c>
      <c r="B25" s="355"/>
      <c r="C25" s="355"/>
      <c r="D25" s="355"/>
      <c r="E25" s="355"/>
      <c r="F25" s="355"/>
    </row>
    <row r="26" spans="1:6" ht="21.75" customHeight="1" x14ac:dyDescent="0.3">
      <c r="A26" s="355" t="str">
        <f>"Chức danh chuyên môn: "&amp;IF($I$4="","Nhân viên lái xe",$I$4)</f>
        <v>Chức danh chuyên môn: Nhân viên lái xe</v>
      </c>
      <c r="B26" s="355"/>
      <c r="C26" s="355"/>
      <c r="D26" s="355"/>
      <c r="E26" s="355"/>
      <c r="F26" s="355"/>
    </row>
    <row r="27" spans="1:6" ht="21.75" customHeight="1" x14ac:dyDescent="0.3">
      <c r="A27" s="355" t="s">
        <v>370</v>
      </c>
      <c r="B27" s="355"/>
      <c r="C27" s="355"/>
      <c r="D27" s="355"/>
      <c r="E27" s="355"/>
      <c r="F27" s="355"/>
    </row>
    <row r="28" spans="1:6" ht="21.75" customHeight="1" x14ac:dyDescent="0.3">
      <c r="A28" s="356" t="s">
        <v>371</v>
      </c>
      <c r="B28" s="356"/>
      <c r="C28" s="356"/>
      <c r="D28" s="356"/>
      <c r="E28" s="356"/>
      <c r="F28" s="356"/>
    </row>
    <row r="29" spans="1:6" ht="21.75" customHeight="1" x14ac:dyDescent="0.3">
      <c r="A29" s="355" t="s">
        <v>372</v>
      </c>
      <c r="B29" s="355"/>
      <c r="C29" s="355"/>
      <c r="D29" s="355"/>
      <c r="E29" s="355"/>
      <c r="F29" s="355"/>
    </row>
    <row r="30" spans="1:6" ht="37.5" customHeight="1" x14ac:dyDescent="0.3">
      <c r="A30" s="355" t="s">
        <v>373</v>
      </c>
      <c r="B30" s="355"/>
      <c r="C30" s="355"/>
      <c r="D30" s="355"/>
      <c r="E30" s="355"/>
      <c r="F30" s="355"/>
    </row>
    <row r="31" spans="1:6" ht="21.75" customHeight="1" x14ac:dyDescent="0.3">
      <c r="A31" s="355" t="s">
        <v>374</v>
      </c>
      <c r="B31" s="355"/>
      <c r="C31" s="355"/>
      <c r="D31" s="355"/>
      <c r="E31" s="355"/>
      <c r="F31" s="355"/>
    </row>
    <row r="32" spans="1:6" ht="21.75" customHeight="1" x14ac:dyDescent="0.3">
      <c r="A32" s="355" t="s">
        <v>375</v>
      </c>
      <c r="B32" s="355"/>
      <c r="C32" s="355"/>
      <c r="D32" s="355"/>
      <c r="E32" s="355"/>
      <c r="F32" s="355"/>
    </row>
    <row r="33" spans="1:6" ht="21.75" customHeight="1" x14ac:dyDescent="0.3">
      <c r="A33" s="356" t="s">
        <v>376</v>
      </c>
      <c r="B33" s="356"/>
      <c r="C33" s="356"/>
      <c r="D33" s="356"/>
      <c r="E33" s="356"/>
      <c r="F33" s="356"/>
    </row>
    <row r="34" spans="1:6" ht="37.5" customHeight="1" x14ac:dyDescent="0.3">
      <c r="A34" s="356" t="s">
        <v>377</v>
      </c>
      <c r="B34" s="356"/>
      <c r="C34" s="356"/>
      <c r="D34" s="356"/>
      <c r="E34" s="356"/>
      <c r="F34" s="356"/>
    </row>
    <row r="35" spans="1:6" ht="37.5" customHeight="1" x14ac:dyDescent="0.3">
      <c r="A35" s="355" t="s">
        <v>378</v>
      </c>
      <c r="B35" s="355"/>
      <c r="C35" s="355"/>
      <c r="D35" s="355"/>
      <c r="E35" s="355"/>
      <c r="F35" s="355"/>
    </row>
    <row r="36" spans="1:6" ht="21.75" customHeight="1" x14ac:dyDescent="0.3">
      <c r="A36" s="355" t="str">
        <f>"Mức lương cơ bản: "&amp;IF($I$15="","5.700.000",TEXT($I$15,"#,##0"))&amp;" VND/ Tháng"</f>
        <v>Mức lương cơ bản: 5.700.000 VND/ Tháng</v>
      </c>
      <c r="B36" s="355"/>
      <c r="C36" s="355"/>
      <c r="D36" s="355"/>
      <c r="E36" s="355"/>
      <c r="F36" s="355"/>
    </row>
    <row r="37" spans="1:6" ht="21.75" customHeight="1" x14ac:dyDescent="0.3">
      <c r="A37" s="355" t="s">
        <v>379</v>
      </c>
      <c r="B37" s="355"/>
      <c r="C37" s="355"/>
      <c r="D37" s="355"/>
      <c r="E37" s="355"/>
      <c r="F37" s="355"/>
    </row>
    <row r="38" spans="1:6" ht="37.5" customHeight="1" x14ac:dyDescent="0.3">
      <c r="A38" s="355" t="s">
        <v>380</v>
      </c>
      <c r="B38" s="355"/>
      <c r="C38" s="355"/>
      <c r="D38" s="355"/>
      <c r="E38" s="355"/>
      <c r="F38" s="355"/>
    </row>
    <row r="39" spans="1:6" ht="37.5" customHeight="1" x14ac:dyDescent="0.3">
      <c r="A39" s="355" t="s">
        <v>381</v>
      </c>
      <c r="B39" s="355"/>
      <c r="C39" s="355"/>
      <c r="D39" s="355"/>
      <c r="E39" s="355"/>
      <c r="F39" s="355"/>
    </row>
    <row r="40" spans="1:6" ht="37.5" customHeight="1" x14ac:dyDescent="0.3">
      <c r="A40" s="355" t="s">
        <v>382</v>
      </c>
      <c r="B40" s="355"/>
      <c r="C40" s="355"/>
      <c r="D40" s="355"/>
      <c r="E40" s="355"/>
      <c r="F40" s="355"/>
    </row>
    <row r="41" spans="1:6" ht="21.75" customHeight="1" x14ac:dyDescent="0.3">
      <c r="A41" s="355" t="s">
        <v>383</v>
      </c>
      <c r="B41" s="355"/>
      <c r="C41" s="355"/>
      <c r="D41" s="355"/>
      <c r="E41" s="355"/>
      <c r="F41" s="355"/>
    </row>
    <row r="42" spans="1:6" ht="54" customHeight="1" x14ac:dyDescent="0.3">
      <c r="A42" s="355" t="s">
        <v>384</v>
      </c>
      <c r="B42" s="355"/>
      <c r="C42" s="355"/>
      <c r="D42" s="355"/>
      <c r="E42" s="355"/>
      <c r="F42" s="355"/>
    </row>
    <row r="43" spans="1:6" ht="54" customHeight="1" x14ac:dyDescent="0.3">
      <c r="A43" s="356" t="s">
        <v>385</v>
      </c>
      <c r="B43" s="356"/>
      <c r="C43" s="356"/>
      <c r="D43" s="356"/>
      <c r="E43" s="356"/>
      <c r="F43" s="356"/>
    </row>
    <row r="44" spans="1:6" ht="37.5" customHeight="1" x14ac:dyDescent="0.3">
      <c r="A44" s="355" t="s">
        <v>386</v>
      </c>
      <c r="B44" s="355"/>
      <c r="C44" s="355"/>
      <c r="D44" s="355"/>
      <c r="E44" s="355"/>
      <c r="F44" s="355"/>
    </row>
    <row r="45" spans="1:6" ht="54" customHeight="1" x14ac:dyDescent="0.3">
      <c r="A45" s="355" t="s">
        <v>387</v>
      </c>
      <c r="B45" s="355"/>
      <c r="C45" s="355"/>
      <c r="D45" s="355"/>
      <c r="E45" s="355"/>
      <c r="F45" s="355"/>
    </row>
    <row r="46" spans="1:6" ht="37.5" customHeight="1" x14ac:dyDescent="0.3">
      <c r="A46" s="355" t="s">
        <v>388</v>
      </c>
      <c r="B46" s="355"/>
      <c r="C46" s="355"/>
      <c r="D46" s="355"/>
      <c r="E46" s="355"/>
      <c r="F46" s="355"/>
    </row>
    <row r="47" spans="1:6" ht="21.75" customHeight="1" x14ac:dyDescent="0.3">
      <c r="A47" s="355" t="s">
        <v>389</v>
      </c>
      <c r="B47" s="355"/>
      <c r="C47" s="355"/>
      <c r="D47" s="355"/>
      <c r="E47" s="355"/>
      <c r="F47" s="355"/>
    </row>
    <row r="48" spans="1:6" ht="37.5" customHeight="1" x14ac:dyDescent="0.3">
      <c r="A48" s="355" t="s">
        <v>390</v>
      </c>
      <c r="B48" s="355"/>
      <c r="C48" s="355"/>
      <c r="D48" s="355"/>
      <c r="E48" s="355"/>
      <c r="F48" s="355"/>
    </row>
    <row r="49" spans="1:6" ht="54" customHeight="1" x14ac:dyDescent="0.3">
      <c r="A49" s="356" t="s">
        <v>391</v>
      </c>
      <c r="B49" s="356"/>
      <c r="C49" s="356"/>
      <c r="D49" s="356"/>
      <c r="E49" s="356"/>
      <c r="F49" s="356"/>
    </row>
    <row r="50" spans="1:6" ht="37.5" customHeight="1" x14ac:dyDescent="0.3">
      <c r="A50" s="355" t="s">
        <v>392</v>
      </c>
      <c r="B50" s="355"/>
      <c r="C50" s="355"/>
      <c r="D50" s="355"/>
      <c r="E50" s="355"/>
      <c r="F50" s="355"/>
    </row>
    <row r="51" spans="1:6" ht="54" customHeight="1" x14ac:dyDescent="0.3">
      <c r="A51" s="355" t="s">
        <v>393</v>
      </c>
      <c r="B51" s="355"/>
      <c r="C51" s="355"/>
      <c r="D51" s="355"/>
      <c r="E51" s="355"/>
      <c r="F51" s="355"/>
    </row>
    <row r="52" spans="1:6" ht="36" customHeight="1" x14ac:dyDescent="0.3">
      <c r="A52" s="355" t="s">
        <v>394</v>
      </c>
      <c r="B52" s="355"/>
      <c r="C52" s="355"/>
      <c r="D52" s="355"/>
      <c r="E52" s="355"/>
      <c r="F52" s="355"/>
    </row>
    <row r="53" spans="1:6" ht="36" customHeight="1" x14ac:dyDescent="0.3">
      <c r="A53" s="355" t="s">
        <v>395</v>
      </c>
      <c r="B53" s="355"/>
      <c r="C53" s="355"/>
      <c r="D53" s="355"/>
      <c r="E53" s="355"/>
      <c r="F53" s="355"/>
    </row>
    <row r="54" spans="1:6" ht="37.5" customHeight="1" x14ac:dyDescent="0.3">
      <c r="A54" s="355" t="s">
        <v>396</v>
      </c>
      <c r="B54" s="355"/>
      <c r="C54" s="355"/>
      <c r="D54" s="355"/>
      <c r="E54" s="355"/>
      <c r="F54" s="355"/>
    </row>
    <row r="55" spans="1:6" ht="54" customHeight="1" x14ac:dyDescent="0.3">
      <c r="A55" s="355" t="s">
        <v>397</v>
      </c>
      <c r="B55" s="355"/>
      <c r="C55" s="355"/>
      <c r="D55" s="355"/>
      <c r="E55" s="355"/>
      <c r="F55" s="355"/>
    </row>
    <row r="56" spans="1:6" ht="69.75" customHeight="1" x14ac:dyDescent="0.3">
      <c r="A56" s="355" t="s">
        <v>398</v>
      </c>
      <c r="B56" s="355"/>
      <c r="C56" s="355"/>
      <c r="D56" s="355"/>
      <c r="E56" s="355"/>
      <c r="F56" s="355"/>
    </row>
    <row r="57" spans="1:6" ht="69.75" customHeight="1" x14ac:dyDescent="0.3">
      <c r="A57" s="355" t="s">
        <v>399</v>
      </c>
      <c r="B57" s="355"/>
      <c r="C57" s="355"/>
      <c r="D57" s="355"/>
      <c r="E57" s="355"/>
      <c r="F57" s="355"/>
    </row>
    <row r="58" spans="1:6" ht="85.5" customHeight="1" x14ac:dyDescent="0.3">
      <c r="A58" s="355" t="s">
        <v>400</v>
      </c>
      <c r="B58" s="355"/>
      <c r="C58" s="355"/>
      <c r="D58" s="355"/>
      <c r="E58" s="355"/>
      <c r="F58" s="355"/>
    </row>
    <row r="59" spans="1:6" ht="37.5" customHeight="1" x14ac:dyDescent="0.3">
      <c r="A59" s="355" t="s">
        <v>401</v>
      </c>
      <c r="B59" s="355"/>
      <c r="C59" s="355"/>
      <c r="D59" s="355"/>
      <c r="E59" s="355"/>
      <c r="F59" s="355"/>
    </row>
    <row r="60" spans="1:6" ht="54" customHeight="1" x14ac:dyDescent="0.3">
      <c r="A60" s="355" t="s">
        <v>402</v>
      </c>
      <c r="B60" s="355"/>
      <c r="C60" s="355"/>
      <c r="D60" s="355"/>
      <c r="E60" s="355"/>
      <c r="F60" s="355"/>
    </row>
    <row r="61" spans="1:6" ht="54" customHeight="1" x14ac:dyDescent="0.3">
      <c r="A61" s="355" t="s">
        <v>403</v>
      </c>
      <c r="B61" s="355"/>
      <c r="C61" s="355"/>
      <c r="D61" s="355"/>
      <c r="E61" s="355"/>
      <c r="F61" s="355"/>
    </row>
    <row r="62" spans="1:6" ht="21.75" customHeight="1" x14ac:dyDescent="0.3">
      <c r="A62" s="355" t="s">
        <v>404</v>
      </c>
      <c r="B62" s="355"/>
      <c r="C62" s="355"/>
      <c r="D62" s="355"/>
      <c r="E62" s="355"/>
      <c r="F62" s="355"/>
    </row>
    <row r="63" spans="1:6" ht="21.75" customHeight="1" x14ac:dyDescent="0.3">
      <c r="A63" s="355" t="s">
        <v>405</v>
      </c>
      <c r="B63" s="355"/>
      <c r="C63" s="355"/>
      <c r="D63" s="355"/>
      <c r="E63" s="355"/>
      <c r="F63" s="355"/>
    </row>
    <row r="64" spans="1:6" ht="21.75" customHeight="1" x14ac:dyDescent="0.3">
      <c r="A64" s="355" t="s">
        <v>406</v>
      </c>
      <c r="B64" s="355"/>
      <c r="C64" s="355"/>
      <c r="D64" s="355"/>
      <c r="E64" s="355"/>
      <c r="F64" s="355"/>
    </row>
    <row r="65" spans="1:6" ht="37.5" customHeight="1" x14ac:dyDescent="0.3">
      <c r="A65" s="356" t="s">
        <v>314</v>
      </c>
      <c r="B65" s="356"/>
      <c r="C65" s="356"/>
      <c r="D65" s="356"/>
      <c r="E65" s="356"/>
      <c r="F65" s="356"/>
    </row>
    <row r="66" spans="1:6" ht="54" customHeight="1" x14ac:dyDescent="0.3">
      <c r="A66" s="356" t="s">
        <v>407</v>
      </c>
      <c r="B66" s="356"/>
      <c r="C66" s="356"/>
      <c r="D66" s="356"/>
      <c r="E66" s="356"/>
      <c r="F66" s="356"/>
    </row>
    <row r="67" spans="1:6" ht="21.75" customHeight="1" x14ac:dyDescent="0.3">
      <c r="A67" s="355" t="s">
        <v>408</v>
      </c>
      <c r="B67" s="355"/>
      <c r="C67" s="355"/>
      <c r="D67" s="355"/>
      <c r="E67" s="355"/>
      <c r="F67" s="355"/>
    </row>
    <row r="68" spans="1:6" ht="37.5" customHeight="1" x14ac:dyDescent="0.3">
      <c r="A68" s="355" t="s">
        <v>409</v>
      </c>
      <c r="B68" s="355"/>
      <c r="C68" s="355"/>
      <c r="D68" s="355"/>
      <c r="E68" s="355"/>
      <c r="F68" s="355"/>
    </row>
    <row r="69" spans="1:6" ht="37.5" customHeight="1" x14ac:dyDescent="0.3">
      <c r="A69" s="356" t="s">
        <v>410</v>
      </c>
      <c r="B69" s="356"/>
      <c r="C69" s="356"/>
      <c r="D69" s="356"/>
      <c r="E69" s="356"/>
      <c r="F69" s="356"/>
    </row>
    <row r="70" spans="1:6" ht="26.25" customHeight="1" x14ac:dyDescent="0.3">
      <c r="A70" s="355" t="s">
        <v>411</v>
      </c>
      <c r="B70" s="355"/>
      <c r="C70" s="355"/>
      <c r="D70" s="355"/>
      <c r="E70" s="355"/>
      <c r="F70" s="355"/>
    </row>
    <row r="71" spans="1:6" ht="37.5" customHeight="1" x14ac:dyDescent="0.3">
      <c r="A71" s="355" t="s">
        <v>412</v>
      </c>
      <c r="B71" s="355"/>
      <c r="C71" s="355"/>
      <c r="D71" s="355"/>
      <c r="E71" s="355"/>
      <c r="F71" s="355"/>
    </row>
    <row r="72" spans="1:6" ht="21.75" customHeight="1" x14ac:dyDescent="0.3">
      <c r="A72" s="355" t="s">
        <v>413</v>
      </c>
      <c r="B72" s="355"/>
      <c r="C72" s="355"/>
      <c r="D72" s="355"/>
      <c r="E72" s="355"/>
      <c r="F72" s="355"/>
    </row>
    <row r="73" spans="1:6" ht="21.75" customHeight="1" x14ac:dyDescent="0.3">
      <c r="A73" s="355" t="s">
        <v>414</v>
      </c>
      <c r="B73" s="355"/>
      <c r="C73" s="355"/>
      <c r="D73" s="355"/>
      <c r="E73" s="355"/>
      <c r="F73" s="355"/>
    </row>
    <row r="74" spans="1:6" ht="37.5" customHeight="1" x14ac:dyDescent="0.3">
      <c r="A74" s="356" t="s">
        <v>415</v>
      </c>
      <c r="B74" s="356"/>
      <c r="C74" s="356"/>
      <c r="D74" s="356"/>
      <c r="E74" s="356"/>
      <c r="F74" s="356"/>
    </row>
    <row r="75" spans="1:6" ht="31.5" customHeight="1" x14ac:dyDescent="0.3">
      <c r="A75" s="356" t="s">
        <v>416</v>
      </c>
      <c r="B75" s="356"/>
      <c r="C75" s="356"/>
      <c r="D75" s="356"/>
      <c r="E75" s="356"/>
      <c r="F75" s="356"/>
    </row>
    <row r="76" spans="1:6" ht="21.75" customHeight="1" x14ac:dyDescent="0.3">
      <c r="A76" s="355" t="s">
        <v>417</v>
      </c>
      <c r="B76" s="355"/>
      <c r="C76" s="355"/>
      <c r="D76" s="355"/>
      <c r="E76" s="355"/>
      <c r="F76" s="355"/>
    </row>
    <row r="77" spans="1:6" ht="93.75" customHeight="1" x14ac:dyDescent="0.3">
      <c r="A77" s="355" t="s">
        <v>418</v>
      </c>
      <c r="B77" s="355"/>
      <c r="C77" s="355"/>
      <c r="D77" s="355"/>
      <c r="E77" s="355"/>
      <c r="F77" s="355"/>
    </row>
    <row r="78" spans="1:6" ht="37.5" customHeight="1" x14ac:dyDescent="0.3">
      <c r="A78" s="355" t="s">
        <v>419</v>
      </c>
      <c r="B78" s="355"/>
      <c r="C78" s="355"/>
      <c r="D78" s="355"/>
      <c r="E78" s="355"/>
      <c r="F78" s="355"/>
    </row>
    <row r="79" spans="1:6" ht="37.5" customHeight="1" x14ac:dyDescent="0.3">
      <c r="A79" s="355" t="s">
        <v>420</v>
      </c>
      <c r="B79" s="355"/>
      <c r="C79" s="355"/>
      <c r="D79" s="355"/>
      <c r="E79" s="355"/>
      <c r="F79" s="355"/>
    </row>
    <row r="80" spans="1:6" ht="37.5" customHeight="1" x14ac:dyDescent="0.3">
      <c r="A80" s="355" t="s">
        <v>421</v>
      </c>
      <c r="B80" s="355"/>
      <c r="C80" s="355"/>
      <c r="D80" s="355"/>
      <c r="E80" s="355"/>
      <c r="F80" s="355"/>
    </row>
    <row r="81" spans="1:6" ht="21.75" customHeight="1" x14ac:dyDescent="0.3">
      <c r="A81" s="355" t="s">
        <v>422</v>
      </c>
      <c r="B81" s="355"/>
      <c r="C81" s="355"/>
      <c r="D81" s="355"/>
      <c r="E81" s="355"/>
      <c r="F81" s="355"/>
    </row>
    <row r="82" spans="1:6" ht="21.75" customHeight="1" x14ac:dyDescent="0.3">
      <c r="A82" s="355" t="s">
        <v>423</v>
      </c>
      <c r="B82" s="355"/>
      <c r="C82" s="355"/>
      <c r="D82" s="355"/>
      <c r="E82" s="355"/>
      <c r="F82" s="355"/>
    </row>
    <row r="83" spans="1:6" ht="37.5" customHeight="1" x14ac:dyDescent="0.3">
      <c r="A83" s="355" t="s">
        <v>424</v>
      </c>
      <c r="B83" s="355"/>
      <c r="C83" s="355"/>
      <c r="D83" s="355"/>
      <c r="E83" s="355"/>
      <c r="F83" s="355"/>
    </row>
    <row r="84" spans="1:6" ht="37.5" customHeight="1" x14ac:dyDescent="0.3">
      <c r="A84" s="356" t="s">
        <v>425</v>
      </c>
      <c r="B84" s="356"/>
      <c r="C84" s="356"/>
      <c r="D84" s="356"/>
      <c r="E84" s="356"/>
      <c r="F84" s="356"/>
    </row>
    <row r="85" spans="1:6" ht="33" customHeight="1" x14ac:dyDescent="0.3">
      <c r="A85" s="355" t="s">
        <v>426</v>
      </c>
      <c r="B85" s="355"/>
      <c r="C85" s="355"/>
      <c r="D85" s="355"/>
      <c r="E85" s="355"/>
      <c r="F85" s="355"/>
    </row>
    <row r="86" spans="1:6" ht="37.5" customHeight="1" x14ac:dyDescent="0.3">
      <c r="A86" s="355" t="s">
        <v>427</v>
      </c>
      <c r="B86" s="355"/>
      <c r="C86" s="355"/>
      <c r="D86" s="355"/>
      <c r="E86" s="355"/>
      <c r="F86" s="355"/>
    </row>
    <row r="87" spans="1:6" ht="37.5" customHeight="1" x14ac:dyDescent="0.3">
      <c r="A87" s="355" t="s">
        <v>428</v>
      </c>
      <c r="B87" s="355"/>
      <c r="C87" s="355"/>
      <c r="D87" s="355"/>
      <c r="E87" s="355"/>
      <c r="F87" s="355"/>
    </row>
    <row r="88" spans="1:6" ht="37.5" customHeight="1" x14ac:dyDescent="0.3">
      <c r="A88" s="355" t="s">
        <v>429</v>
      </c>
      <c r="B88" s="355"/>
      <c r="C88" s="355"/>
      <c r="D88" s="355"/>
      <c r="E88" s="355"/>
      <c r="F88" s="355"/>
    </row>
    <row r="89" spans="1:6" ht="37.5" customHeight="1" x14ac:dyDescent="0.3">
      <c r="A89" s="355" t="s">
        <v>430</v>
      </c>
      <c r="B89" s="355"/>
      <c r="C89" s="355"/>
      <c r="D89" s="355"/>
      <c r="E89" s="355"/>
      <c r="F89" s="355"/>
    </row>
    <row r="90" spans="1:6" ht="54" customHeight="1" x14ac:dyDescent="0.3">
      <c r="A90" s="355" t="s">
        <v>431</v>
      </c>
      <c r="B90" s="355"/>
      <c r="C90" s="355"/>
      <c r="D90" s="355"/>
      <c r="E90" s="355"/>
      <c r="F90" s="355"/>
    </row>
    <row r="91" spans="1:6" ht="21.75" customHeight="1" x14ac:dyDescent="0.3">
      <c r="A91" s="355" t="s">
        <v>432</v>
      </c>
      <c r="B91" s="355"/>
      <c r="C91" s="355"/>
      <c r="D91" s="355"/>
      <c r="E91" s="355"/>
      <c r="F91" s="355"/>
    </row>
    <row r="92" spans="1:6" ht="31.5" customHeight="1" x14ac:dyDescent="0.3">
      <c r="A92" s="355" t="s">
        <v>433</v>
      </c>
      <c r="B92" s="355"/>
      <c r="C92" s="355"/>
      <c r="D92" s="355"/>
      <c r="E92" s="355"/>
      <c r="F92" s="355"/>
    </row>
    <row r="93" spans="1:6" ht="28.5" customHeight="1" x14ac:dyDescent="0.3">
      <c r="A93" s="356" t="s">
        <v>434</v>
      </c>
      <c r="B93" s="356"/>
      <c r="C93" s="356"/>
      <c r="D93" s="356"/>
      <c r="E93" s="356"/>
      <c r="F93" s="356"/>
    </row>
    <row r="94" spans="1:6" ht="54" customHeight="1" x14ac:dyDescent="0.3">
      <c r="A94" s="355" t="s">
        <v>435</v>
      </c>
      <c r="B94" s="355"/>
      <c r="C94" s="355"/>
      <c r="D94" s="355"/>
      <c r="E94" s="355"/>
      <c r="F94" s="355"/>
    </row>
    <row r="95" spans="1:6" ht="21.75" customHeight="1" x14ac:dyDescent="0.3">
      <c r="A95" s="355" t="s">
        <v>436</v>
      </c>
      <c r="B95" s="355"/>
      <c r="C95" s="355"/>
      <c r="D95" s="355"/>
      <c r="E95" s="355"/>
      <c r="F95" s="355"/>
    </row>
    <row r="96" spans="1:6" ht="45" customHeight="1" x14ac:dyDescent="0.3">
      <c r="A96" s="355" t="s">
        <v>437</v>
      </c>
      <c r="B96" s="355"/>
      <c r="C96" s="355"/>
      <c r="D96" s="355"/>
      <c r="E96" s="355"/>
      <c r="F96" s="355"/>
    </row>
    <row r="97" spans="1:6" ht="15.75" customHeight="1" x14ac:dyDescent="0.3">
      <c r="A97" s="349" t="s">
        <v>438</v>
      </c>
      <c r="B97" s="349"/>
      <c r="C97" s="349"/>
      <c r="D97" s="349" t="s">
        <v>439</v>
      </c>
      <c r="E97" s="349"/>
      <c r="F97" s="349"/>
    </row>
    <row r="98" spans="1:6" ht="15.75" customHeight="1" x14ac:dyDescent="0.3">
      <c r="A98" s="353" t="s">
        <v>440</v>
      </c>
      <c r="B98" s="353"/>
      <c r="C98" s="353"/>
      <c r="D98" s="353" t="s">
        <v>441</v>
      </c>
      <c r="E98" s="353"/>
      <c r="F98" s="353"/>
    </row>
  </sheetData>
  <mergeCells count="99">
    <mergeCell ref="A97:C97"/>
    <mergeCell ref="D97:F97"/>
    <mergeCell ref="A98:C98"/>
    <mergeCell ref="D98:F98"/>
    <mergeCell ref="A92:F92"/>
    <mergeCell ref="A93:F93"/>
    <mergeCell ref="A94:F94"/>
    <mergeCell ref="A95:F95"/>
    <mergeCell ref="A96:F96"/>
    <mergeCell ref="A87:F87"/>
    <mergeCell ref="A88:F88"/>
    <mergeCell ref="A89:F89"/>
    <mergeCell ref="A90:F90"/>
    <mergeCell ref="A91:F91"/>
    <mergeCell ref="A82:F82"/>
    <mergeCell ref="A83:F83"/>
    <mergeCell ref="A84:F84"/>
    <mergeCell ref="A85:F85"/>
    <mergeCell ref="A86:F86"/>
    <mergeCell ref="A77:F77"/>
    <mergeCell ref="A78:F78"/>
    <mergeCell ref="A79:F79"/>
    <mergeCell ref="A80:F80"/>
    <mergeCell ref="A81:F81"/>
    <mergeCell ref="A72:F72"/>
    <mergeCell ref="A73:F73"/>
    <mergeCell ref="A74:F74"/>
    <mergeCell ref="A75:F75"/>
    <mergeCell ref="A76:F76"/>
    <mergeCell ref="A67:F67"/>
    <mergeCell ref="A68:F68"/>
    <mergeCell ref="A69:F69"/>
    <mergeCell ref="A70:F70"/>
    <mergeCell ref="A71:F71"/>
    <mergeCell ref="A62:F62"/>
    <mergeCell ref="A63:F63"/>
    <mergeCell ref="A64:F64"/>
    <mergeCell ref="A65:F65"/>
    <mergeCell ref="A66:F66"/>
    <mergeCell ref="A57:F57"/>
    <mergeCell ref="A58:F58"/>
    <mergeCell ref="A59:F59"/>
    <mergeCell ref="A60:F60"/>
    <mergeCell ref="A61:F61"/>
    <mergeCell ref="A52:F52"/>
    <mergeCell ref="A53:F53"/>
    <mergeCell ref="A54:F54"/>
    <mergeCell ref="A55:F55"/>
    <mergeCell ref="A56:F56"/>
    <mergeCell ref="A47:F47"/>
    <mergeCell ref="A48:F48"/>
    <mergeCell ref="A49:F49"/>
    <mergeCell ref="A50:F50"/>
    <mergeCell ref="A51:F51"/>
    <mergeCell ref="A42:F42"/>
    <mergeCell ref="A43:F43"/>
    <mergeCell ref="A44:F44"/>
    <mergeCell ref="A45:F45"/>
    <mergeCell ref="A46:F46"/>
    <mergeCell ref="A37:F37"/>
    <mergeCell ref="A38:F38"/>
    <mergeCell ref="A39:F39"/>
    <mergeCell ref="A40:F40"/>
    <mergeCell ref="A41:F41"/>
    <mergeCell ref="A32:F32"/>
    <mergeCell ref="A33:F33"/>
    <mergeCell ref="A34:F34"/>
    <mergeCell ref="A35:F35"/>
    <mergeCell ref="A36:F36"/>
    <mergeCell ref="A27:F27"/>
    <mergeCell ref="A28:F28"/>
    <mergeCell ref="A29:F29"/>
    <mergeCell ref="A30:F30"/>
    <mergeCell ref="A31:F31"/>
    <mergeCell ref="A22:F22"/>
    <mergeCell ref="A23:F23"/>
    <mergeCell ref="A24:F24"/>
    <mergeCell ref="A25:F25"/>
    <mergeCell ref="A26:F26"/>
    <mergeCell ref="A17:F17"/>
    <mergeCell ref="A18:F18"/>
    <mergeCell ref="A19:F19"/>
    <mergeCell ref="A20:F20"/>
    <mergeCell ref="A21:F21"/>
    <mergeCell ref="A12:F12"/>
    <mergeCell ref="A13:F13"/>
    <mergeCell ref="A14:F14"/>
    <mergeCell ref="A15:F15"/>
    <mergeCell ref="A16:F16"/>
    <mergeCell ref="A7:F7"/>
    <mergeCell ref="A8:F8"/>
    <mergeCell ref="A9:F9"/>
    <mergeCell ref="A10:F10"/>
    <mergeCell ref="A11:F11"/>
    <mergeCell ref="A1:B1"/>
    <mergeCell ref="C1:F1"/>
    <mergeCell ref="A2:B2"/>
    <mergeCell ref="C2:F2"/>
    <mergeCell ref="A5:F5"/>
  </mergeCells>
  <pageMargins left="1.1798611111111099" right="0.79027777777777797" top="0.97986111111111096" bottom="0.97986111111111096" header="0.511811023622047" footer="0.3"/>
  <pageSetup paperSize="9" fitToHeight="0" orientation="portrait" horizontalDpi="300" verticalDpi="300"/>
  <headerFooter>
    <oddFooter>&amp;CTrang &amp;P/&amp;N</oddFooter>
  </headerFooter>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pageSetUpPr fitToPage="1"/>
  </sheetPr>
  <dimension ref="A1:F960"/>
  <sheetViews>
    <sheetView showGridLines="0" topLeftCell="A125" zoomScaleNormal="100" workbookViewId="0">
      <selection activeCell="F42" sqref="F42"/>
    </sheetView>
  </sheetViews>
  <sheetFormatPr defaultColWidth="8.6640625" defaultRowHeight="14.4" x14ac:dyDescent="0.3"/>
  <cols>
    <col min="1" max="1" width="8" customWidth="1"/>
    <col min="2" max="3" width="15" customWidth="1"/>
    <col min="4" max="5" width="20" customWidth="1"/>
    <col min="6" max="6" width="12" customWidth="1"/>
  </cols>
  <sheetData>
    <row r="1" spans="1:6" ht="21.75" customHeight="1" x14ac:dyDescent="0.3">
      <c r="A1" s="349" t="s">
        <v>2018</v>
      </c>
      <c r="B1" s="349"/>
      <c r="C1" s="349"/>
      <c r="D1" s="349"/>
      <c r="E1" s="349"/>
      <c r="F1" s="349"/>
    </row>
    <row r="2" spans="1:6" hidden="1" x14ac:dyDescent="0.3"/>
    <row r="3" spans="1:6" hidden="1" x14ac:dyDescent="0.3"/>
    <row r="4" spans="1:6" hidden="1" x14ac:dyDescent="0.3"/>
    <row r="5" spans="1:6" hidden="1" x14ac:dyDescent="0.3"/>
    <row r="6" spans="1:6" hidden="1" x14ac:dyDescent="0.3"/>
    <row r="7" spans="1:6" hidden="1" x14ac:dyDescent="0.3"/>
    <row r="8" spans="1:6" hidden="1" x14ac:dyDescent="0.3"/>
    <row r="9" spans="1:6" hidden="1" x14ac:dyDescent="0.3"/>
    <row r="10" spans="1:6" hidden="1" x14ac:dyDescent="0.3"/>
    <row r="11" spans="1:6" hidden="1" x14ac:dyDescent="0.3"/>
    <row r="12" spans="1:6" hidden="1" x14ac:dyDescent="0.3"/>
    <row r="13" spans="1:6" ht="25.5" customHeight="1" x14ac:dyDescent="0.3">
      <c r="A13" s="354" t="s">
        <v>442</v>
      </c>
      <c r="B13" s="354"/>
      <c r="C13" s="354"/>
      <c r="D13" s="354"/>
      <c r="E13" s="354"/>
      <c r="F13" s="354"/>
    </row>
    <row r="14" spans="1:6" ht="21.75" customHeight="1" x14ac:dyDescent="0.3">
      <c r="A14" s="353" t="s">
        <v>443</v>
      </c>
      <c r="B14" s="353"/>
      <c r="C14" s="353"/>
      <c r="D14" s="353"/>
      <c r="E14" s="353"/>
      <c r="F14" s="353"/>
    </row>
    <row r="15" spans="1:6" hidden="1" x14ac:dyDescent="0.3"/>
    <row r="16" spans="1:6" hidden="1" x14ac:dyDescent="0.3"/>
    <row r="17" spans="1:6" hidden="1" x14ac:dyDescent="0.3"/>
    <row r="18" spans="1:6" hidden="1" x14ac:dyDescent="0.3"/>
    <row r="19" spans="1:6" hidden="1" x14ac:dyDescent="0.3"/>
    <row r="20" spans="1:6" hidden="1" x14ac:dyDescent="0.3"/>
    <row r="21" spans="1:6" hidden="1" x14ac:dyDescent="0.3"/>
    <row r="22" spans="1:6" hidden="1" x14ac:dyDescent="0.3"/>
    <row r="23" spans="1:6" hidden="1" x14ac:dyDescent="0.3"/>
    <row r="24" spans="1:6" hidden="1" x14ac:dyDescent="0.3"/>
    <row r="25" spans="1:6" hidden="1" x14ac:dyDescent="0.3"/>
    <row r="26" spans="1:6" hidden="1" x14ac:dyDescent="0.3"/>
    <row r="27" spans="1:6" hidden="1" x14ac:dyDescent="0.3"/>
    <row r="28" spans="1:6" hidden="1" x14ac:dyDescent="0.3"/>
    <row r="29" spans="1:6" hidden="1" x14ac:dyDescent="0.3"/>
    <row r="30" spans="1:6" hidden="1" x14ac:dyDescent="0.3"/>
    <row r="31" spans="1:6" hidden="1" x14ac:dyDescent="0.3"/>
    <row r="32" spans="1:6" ht="21.75" customHeight="1" x14ac:dyDescent="0.3">
      <c r="A32" s="360" t="s">
        <v>2019</v>
      </c>
      <c r="B32" s="360"/>
      <c r="C32" s="360"/>
      <c r="D32" s="360"/>
      <c r="E32" s="360"/>
      <c r="F32" s="360"/>
    </row>
    <row r="33" spans="1:6" ht="25.5" customHeight="1" x14ac:dyDescent="0.3">
      <c r="A33" s="354" t="s">
        <v>444</v>
      </c>
      <c r="B33" s="354"/>
      <c r="C33" s="354"/>
      <c r="D33" s="354"/>
      <c r="E33" s="354"/>
      <c r="F33" s="354"/>
    </row>
    <row r="34" spans="1:6" ht="21.75" customHeight="1" x14ac:dyDescent="0.3">
      <c r="A34" s="356" t="s">
        <v>445</v>
      </c>
      <c r="B34" s="356"/>
      <c r="C34" s="356"/>
      <c r="D34" s="356"/>
      <c r="E34" s="356"/>
      <c r="F34" s="253">
        <v>1</v>
      </c>
    </row>
    <row r="35" spans="1:6" ht="19.95" customHeight="1" x14ac:dyDescent="0.3">
      <c r="A35" s="355" t="s">
        <v>446</v>
      </c>
      <c r="B35" s="355"/>
      <c r="C35" s="355"/>
      <c r="D35" s="355"/>
      <c r="E35" s="355"/>
      <c r="F35" s="265">
        <v>1</v>
      </c>
    </row>
    <row r="36" spans="1:6" ht="19.95" customHeight="1" x14ac:dyDescent="0.3">
      <c r="A36" s="355" t="s">
        <v>447</v>
      </c>
      <c r="B36" s="355"/>
      <c r="C36" s="355"/>
      <c r="D36" s="355"/>
      <c r="E36" s="355"/>
      <c r="F36" s="265">
        <v>1</v>
      </c>
    </row>
    <row r="37" spans="1:6" ht="19.95" customHeight="1" x14ac:dyDescent="0.3">
      <c r="A37" s="355" t="s">
        <v>448</v>
      </c>
      <c r="B37" s="355"/>
      <c r="C37" s="355"/>
      <c r="D37" s="355"/>
      <c r="E37" s="355"/>
      <c r="F37" s="265">
        <v>1</v>
      </c>
    </row>
    <row r="38" spans="1:6" ht="19.95" customHeight="1" x14ac:dyDescent="0.3">
      <c r="A38" s="355" t="s">
        <v>449</v>
      </c>
      <c r="B38" s="355"/>
      <c r="C38" s="355"/>
      <c r="D38" s="355"/>
      <c r="E38" s="355"/>
      <c r="F38" s="265">
        <v>1</v>
      </c>
    </row>
    <row r="39" spans="1:6" ht="19.95" customHeight="1" x14ac:dyDescent="0.3">
      <c r="A39" s="355" t="s">
        <v>450</v>
      </c>
      <c r="B39" s="355"/>
      <c r="C39" s="355"/>
      <c r="D39" s="355"/>
      <c r="E39" s="355"/>
      <c r="F39" s="265">
        <v>2</v>
      </c>
    </row>
    <row r="40" spans="1:6" ht="21.75" customHeight="1" x14ac:dyDescent="0.3">
      <c r="A40" s="356" t="s">
        <v>451</v>
      </c>
      <c r="B40" s="356"/>
      <c r="C40" s="356"/>
      <c r="D40" s="356"/>
      <c r="E40" s="356"/>
      <c r="F40" s="253">
        <v>3</v>
      </c>
    </row>
    <row r="41" spans="1:6" ht="19.95" customHeight="1" x14ac:dyDescent="0.3">
      <c r="A41" s="355" t="s">
        <v>452</v>
      </c>
      <c r="B41" s="355"/>
      <c r="C41" s="355"/>
      <c r="D41" s="355"/>
      <c r="E41" s="355"/>
      <c r="F41" s="265">
        <v>3</v>
      </c>
    </row>
    <row r="42" spans="1:6" ht="19.95" customHeight="1" x14ac:dyDescent="0.3">
      <c r="A42" s="355" t="s">
        <v>453</v>
      </c>
      <c r="B42" s="355"/>
      <c r="C42" s="355"/>
      <c r="D42" s="355"/>
      <c r="E42" s="355"/>
      <c r="F42" s="265">
        <v>3</v>
      </c>
    </row>
    <row r="43" spans="1:6" ht="19.95" customHeight="1" x14ac:dyDescent="0.3">
      <c r="A43" s="355" t="s">
        <v>454</v>
      </c>
      <c r="B43" s="355"/>
      <c r="C43" s="355"/>
      <c r="D43" s="355"/>
      <c r="E43" s="355"/>
      <c r="F43" s="265">
        <v>3</v>
      </c>
    </row>
    <row r="44" spans="1:6" ht="19.95" customHeight="1" x14ac:dyDescent="0.3">
      <c r="A44" s="355" t="s">
        <v>455</v>
      </c>
      <c r="B44" s="355"/>
      <c r="C44" s="355"/>
      <c r="D44" s="355"/>
      <c r="E44" s="355"/>
      <c r="F44" s="265">
        <v>4</v>
      </c>
    </row>
    <row r="45" spans="1:6" ht="19.95" customHeight="1" x14ac:dyDescent="0.3">
      <c r="A45" s="355" t="s">
        <v>456</v>
      </c>
      <c r="B45" s="355"/>
      <c r="C45" s="355"/>
      <c r="D45" s="355"/>
      <c r="E45" s="355"/>
      <c r="F45" s="265">
        <v>4</v>
      </c>
    </row>
    <row r="46" spans="1:6" ht="19.95" customHeight="1" x14ac:dyDescent="0.3">
      <c r="A46" s="355" t="s">
        <v>457</v>
      </c>
      <c r="B46" s="355"/>
      <c r="C46" s="355"/>
      <c r="D46" s="355"/>
      <c r="E46" s="355"/>
      <c r="F46" s="265">
        <v>5</v>
      </c>
    </row>
    <row r="47" spans="1:6" ht="19.95" customHeight="1" x14ac:dyDescent="0.3">
      <c r="A47" s="355" t="s">
        <v>458</v>
      </c>
      <c r="B47" s="355"/>
      <c r="C47" s="355"/>
      <c r="D47" s="355"/>
      <c r="E47" s="355"/>
      <c r="F47" s="265">
        <v>5</v>
      </c>
    </row>
    <row r="48" spans="1:6" ht="19.95" customHeight="1" x14ac:dyDescent="0.3">
      <c r="A48" s="355" t="s">
        <v>459</v>
      </c>
      <c r="B48" s="355"/>
      <c r="C48" s="355"/>
      <c r="D48" s="355"/>
      <c r="E48" s="355"/>
      <c r="F48" s="265">
        <v>6</v>
      </c>
    </row>
    <row r="49" spans="1:6" ht="37.5" customHeight="1" x14ac:dyDescent="0.3">
      <c r="A49" s="356" t="s">
        <v>460</v>
      </c>
      <c r="B49" s="356"/>
      <c r="C49" s="356"/>
      <c r="D49" s="356"/>
      <c r="E49" s="356"/>
      <c r="F49" s="253">
        <v>6</v>
      </c>
    </row>
    <row r="50" spans="1:6" ht="19.95" customHeight="1" x14ac:dyDescent="0.3">
      <c r="A50" s="355" t="s">
        <v>461</v>
      </c>
      <c r="B50" s="355"/>
      <c r="C50" s="355"/>
      <c r="D50" s="355"/>
      <c r="E50" s="355"/>
      <c r="F50" s="265">
        <v>6</v>
      </c>
    </row>
    <row r="51" spans="1:6" ht="19.95" customHeight="1" x14ac:dyDescent="0.3">
      <c r="A51" s="355" t="s">
        <v>462</v>
      </c>
      <c r="B51" s="355"/>
      <c r="C51" s="355"/>
      <c r="D51" s="355"/>
      <c r="E51" s="355"/>
      <c r="F51" s="265">
        <v>9</v>
      </c>
    </row>
    <row r="52" spans="1:6" ht="21.75" customHeight="1" x14ac:dyDescent="0.3">
      <c r="A52" s="356" t="s">
        <v>463</v>
      </c>
      <c r="B52" s="356"/>
      <c r="C52" s="356"/>
      <c r="D52" s="356"/>
      <c r="E52" s="356"/>
      <c r="F52" s="253">
        <v>10</v>
      </c>
    </row>
    <row r="53" spans="1:6" ht="19.95" customHeight="1" x14ac:dyDescent="0.3">
      <c r="A53" s="355" t="s">
        <v>464</v>
      </c>
      <c r="B53" s="355"/>
      <c r="C53" s="355"/>
      <c r="D53" s="355"/>
      <c r="E53" s="355"/>
      <c r="F53" s="265">
        <v>10</v>
      </c>
    </row>
    <row r="54" spans="1:6" ht="19.95" customHeight="1" x14ac:dyDescent="0.3">
      <c r="A54" s="355" t="s">
        <v>465</v>
      </c>
      <c r="B54" s="355"/>
      <c r="C54" s="355"/>
      <c r="D54" s="355"/>
      <c r="E54" s="355"/>
      <c r="F54" s="265">
        <v>10</v>
      </c>
    </row>
    <row r="55" spans="1:6" ht="19.95" customHeight="1" x14ac:dyDescent="0.3">
      <c r="A55" s="355" t="s">
        <v>466</v>
      </c>
      <c r="B55" s="355"/>
      <c r="C55" s="355"/>
      <c r="D55" s="355"/>
      <c r="E55" s="355"/>
      <c r="F55" s="265">
        <v>11</v>
      </c>
    </row>
    <row r="56" spans="1:6" ht="21.75" customHeight="1" x14ac:dyDescent="0.3">
      <c r="A56" s="356" t="s">
        <v>467</v>
      </c>
      <c r="B56" s="356"/>
      <c r="C56" s="356"/>
      <c r="D56" s="356"/>
      <c r="E56" s="356"/>
      <c r="F56" s="253">
        <v>11</v>
      </c>
    </row>
    <row r="57" spans="1:6" ht="19.95" customHeight="1" x14ac:dyDescent="0.3">
      <c r="A57" s="355" t="s">
        <v>468</v>
      </c>
      <c r="B57" s="355"/>
      <c r="C57" s="355"/>
      <c r="D57" s="355"/>
      <c r="E57" s="355"/>
      <c r="F57" s="265">
        <v>11</v>
      </c>
    </row>
    <row r="58" spans="1:6" ht="19.95" customHeight="1" x14ac:dyDescent="0.3">
      <c r="A58" s="355" t="s">
        <v>469</v>
      </c>
      <c r="B58" s="355"/>
      <c r="C58" s="355"/>
      <c r="D58" s="355"/>
      <c r="E58" s="355"/>
      <c r="F58" s="265">
        <v>12</v>
      </c>
    </row>
    <row r="59" spans="1:6" ht="21.75" customHeight="1" x14ac:dyDescent="0.3">
      <c r="A59" s="356" t="s">
        <v>470</v>
      </c>
      <c r="B59" s="356"/>
      <c r="C59" s="356"/>
      <c r="D59" s="356"/>
      <c r="E59" s="356"/>
      <c r="F59" s="253">
        <v>13</v>
      </c>
    </row>
    <row r="60" spans="1:6" ht="19.95" customHeight="1" x14ac:dyDescent="0.3">
      <c r="A60" s="355" t="s">
        <v>471</v>
      </c>
      <c r="B60" s="355"/>
      <c r="C60" s="355"/>
      <c r="D60" s="355"/>
      <c r="E60" s="355"/>
      <c r="F60" s="265">
        <v>13</v>
      </c>
    </row>
    <row r="61" spans="1:6" ht="19.95" customHeight="1" x14ac:dyDescent="0.3">
      <c r="A61" s="355" t="s">
        <v>472</v>
      </c>
      <c r="B61" s="355"/>
      <c r="C61" s="355"/>
      <c r="D61" s="355"/>
      <c r="E61" s="355"/>
      <c r="F61" s="265">
        <v>13</v>
      </c>
    </row>
    <row r="62" spans="1:6" ht="19.95" customHeight="1" x14ac:dyDescent="0.3">
      <c r="A62" s="355" t="s">
        <v>473</v>
      </c>
      <c r="B62" s="355"/>
      <c r="C62" s="355"/>
      <c r="D62" s="355"/>
      <c r="E62" s="355"/>
      <c r="F62" s="265">
        <v>20</v>
      </c>
    </row>
    <row r="63" spans="1:6" ht="19.95" customHeight="1" x14ac:dyDescent="0.3">
      <c r="A63" s="355" t="s">
        <v>474</v>
      </c>
      <c r="B63" s="355"/>
      <c r="C63" s="355"/>
      <c r="D63" s="355"/>
      <c r="E63" s="355"/>
      <c r="F63" s="265">
        <v>22</v>
      </c>
    </row>
    <row r="64" spans="1:6" ht="19.95" customHeight="1" x14ac:dyDescent="0.3">
      <c r="A64" s="355" t="s">
        <v>475</v>
      </c>
      <c r="B64" s="355"/>
      <c r="C64" s="355"/>
      <c r="D64" s="355"/>
      <c r="E64" s="355"/>
      <c r="F64" s="265">
        <v>22</v>
      </c>
    </row>
    <row r="65" spans="1:6" ht="37.5" customHeight="1" x14ac:dyDescent="0.3">
      <c r="A65" s="356" t="s">
        <v>476</v>
      </c>
      <c r="B65" s="356"/>
      <c r="C65" s="356"/>
      <c r="D65" s="356"/>
      <c r="E65" s="356"/>
      <c r="F65" s="253">
        <v>25</v>
      </c>
    </row>
    <row r="66" spans="1:6" ht="19.95" customHeight="1" x14ac:dyDescent="0.3">
      <c r="A66" s="355" t="s">
        <v>477</v>
      </c>
      <c r="B66" s="355"/>
      <c r="C66" s="355"/>
      <c r="D66" s="355"/>
      <c r="E66" s="355"/>
      <c r="F66" s="265">
        <v>25</v>
      </c>
    </row>
    <row r="67" spans="1:6" ht="19.95" customHeight="1" x14ac:dyDescent="0.3">
      <c r="A67" s="355" t="s">
        <v>478</v>
      </c>
      <c r="B67" s="355"/>
      <c r="C67" s="355"/>
      <c r="D67" s="355"/>
      <c r="E67" s="355"/>
      <c r="F67" s="265">
        <v>25</v>
      </c>
    </row>
    <row r="68" spans="1:6" ht="19.95" customHeight="1" x14ac:dyDescent="0.3">
      <c r="A68" s="355" t="s">
        <v>479</v>
      </c>
      <c r="B68" s="355"/>
      <c r="C68" s="355"/>
      <c r="D68" s="355"/>
      <c r="E68" s="355"/>
      <c r="F68" s="265">
        <v>26</v>
      </c>
    </row>
    <row r="69" spans="1:6" ht="19.95" customHeight="1" x14ac:dyDescent="0.3">
      <c r="A69" s="355" t="s">
        <v>480</v>
      </c>
      <c r="B69" s="355"/>
      <c r="C69" s="355"/>
      <c r="D69" s="355"/>
      <c r="E69" s="355"/>
      <c r="F69" s="265">
        <v>30</v>
      </c>
    </row>
    <row r="70" spans="1:6" ht="37.5" customHeight="1" x14ac:dyDescent="0.3">
      <c r="A70" s="355" t="s">
        <v>481</v>
      </c>
      <c r="B70" s="355"/>
      <c r="C70" s="355"/>
      <c r="D70" s="355"/>
      <c r="E70" s="355"/>
      <c r="F70" s="265">
        <v>27</v>
      </c>
    </row>
    <row r="71" spans="1:6" ht="37.5" customHeight="1" x14ac:dyDescent="0.3">
      <c r="A71" s="356" t="s">
        <v>482</v>
      </c>
      <c r="B71" s="356"/>
      <c r="C71" s="356"/>
      <c r="D71" s="356"/>
      <c r="E71" s="356"/>
      <c r="F71" s="253">
        <v>28</v>
      </c>
    </row>
    <row r="72" spans="1:6" ht="19.95" customHeight="1" x14ac:dyDescent="0.3">
      <c r="A72" s="355" t="s">
        <v>483</v>
      </c>
      <c r="B72" s="355"/>
      <c r="C72" s="355"/>
      <c r="D72" s="355"/>
      <c r="E72" s="355"/>
      <c r="F72" s="265">
        <v>28</v>
      </c>
    </row>
    <row r="73" spans="1:6" ht="19.95" customHeight="1" x14ac:dyDescent="0.3">
      <c r="A73" s="355" t="s">
        <v>484</v>
      </c>
      <c r="B73" s="355"/>
      <c r="C73" s="355"/>
      <c r="D73" s="355"/>
      <c r="E73" s="355"/>
      <c r="F73" s="265">
        <v>28</v>
      </c>
    </row>
    <row r="74" spans="1:6" ht="19.95" customHeight="1" x14ac:dyDescent="0.3">
      <c r="A74" s="355" t="s">
        <v>485</v>
      </c>
      <c r="B74" s="355"/>
      <c r="C74" s="355"/>
      <c r="D74" s="355"/>
      <c r="E74" s="355"/>
      <c r="F74" s="265">
        <v>28</v>
      </c>
    </row>
    <row r="75" spans="1:6" ht="19.95" customHeight="1" x14ac:dyDescent="0.3">
      <c r="A75" s="355" t="s">
        <v>486</v>
      </c>
      <c r="B75" s="355"/>
      <c r="C75" s="355"/>
      <c r="D75" s="355"/>
      <c r="E75" s="355"/>
      <c r="F75" s="265">
        <v>28</v>
      </c>
    </row>
    <row r="76" spans="1:6" ht="19.95" customHeight="1" x14ac:dyDescent="0.3">
      <c r="A76" s="355" t="s">
        <v>487</v>
      </c>
      <c r="B76" s="355"/>
      <c r="C76" s="355"/>
      <c r="D76" s="355"/>
      <c r="E76" s="355"/>
      <c r="F76" s="265">
        <v>30</v>
      </c>
    </row>
    <row r="77" spans="1:6" ht="19.95" customHeight="1" x14ac:dyDescent="0.3">
      <c r="A77" s="355" t="s">
        <v>488</v>
      </c>
      <c r="B77" s="355"/>
      <c r="C77" s="355"/>
      <c r="D77" s="355"/>
      <c r="E77" s="355"/>
      <c r="F77" s="265">
        <v>31</v>
      </c>
    </row>
    <row r="78" spans="1:6" ht="19.95" customHeight="1" x14ac:dyDescent="0.3">
      <c r="A78" s="355" t="s">
        <v>489</v>
      </c>
      <c r="B78" s="355"/>
      <c r="C78" s="355"/>
      <c r="D78" s="355"/>
      <c r="E78" s="355"/>
      <c r="F78" s="265">
        <v>31</v>
      </c>
    </row>
    <row r="79" spans="1:6" ht="19.95" customHeight="1" x14ac:dyDescent="0.3">
      <c r="A79" s="355" t="s">
        <v>490</v>
      </c>
      <c r="B79" s="355"/>
      <c r="C79" s="355"/>
      <c r="D79" s="355"/>
      <c r="E79" s="355"/>
      <c r="F79" s="265">
        <v>31</v>
      </c>
    </row>
    <row r="80" spans="1:6" ht="37.5" customHeight="1" x14ac:dyDescent="0.3">
      <c r="A80" s="356" t="s">
        <v>491</v>
      </c>
      <c r="B80" s="356"/>
      <c r="C80" s="356"/>
      <c r="D80" s="356"/>
      <c r="E80" s="356"/>
      <c r="F80" s="253">
        <v>32</v>
      </c>
    </row>
    <row r="81" spans="1:6" ht="19.95" customHeight="1" x14ac:dyDescent="0.3">
      <c r="A81" s="355" t="s">
        <v>492</v>
      </c>
      <c r="B81" s="355"/>
      <c r="C81" s="355"/>
      <c r="D81" s="355"/>
      <c r="E81" s="355"/>
      <c r="F81" s="265">
        <v>32</v>
      </c>
    </row>
    <row r="82" spans="1:6" ht="19.95" customHeight="1" x14ac:dyDescent="0.3">
      <c r="A82" s="355" t="s">
        <v>493</v>
      </c>
      <c r="B82" s="355"/>
      <c r="C82" s="355"/>
      <c r="D82" s="355"/>
      <c r="E82" s="355"/>
      <c r="F82" s="265">
        <v>33</v>
      </c>
    </row>
    <row r="83" spans="1:6" ht="21.75" customHeight="1" x14ac:dyDescent="0.3">
      <c r="A83" s="356" t="s">
        <v>494</v>
      </c>
      <c r="B83" s="356"/>
      <c r="C83" s="356"/>
      <c r="D83" s="356"/>
      <c r="E83" s="356"/>
      <c r="F83" s="253">
        <v>33</v>
      </c>
    </row>
    <row r="84" spans="1:6" ht="19.95" customHeight="1" x14ac:dyDescent="0.3">
      <c r="A84" s="355" t="s">
        <v>495</v>
      </c>
      <c r="B84" s="355"/>
      <c r="C84" s="355"/>
      <c r="D84" s="355"/>
      <c r="E84" s="355"/>
      <c r="F84" s="265">
        <v>33</v>
      </c>
    </row>
    <row r="85" spans="1:6" ht="19.95" customHeight="1" x14ac:dyDescent="0.3">
      <c r="A85" s="355" t="s">
        <v>496</v>
      </c>
      <c r="B85" s="355"/>
      <c r="C85" s="355"/>
      <c r="D85" s="355"/>
      <c r="E85" s="355"/>
      <c r="F85" s="265">
        <v>33</v>
      </c>
    </row>
    <row r="86" spans="1:6" ht="19.95" customHeight="1" x14ac:dyDescent="0.3">
      <c r="A86" s="355" t="s">
        <v>497</v>
      </c>
      <c r="B86" s="355"/>
      <c r="C86" s="355"/>
      <c r="D86" s="355"/>
      <c r="E86" s="355"/>
      <c r="F86" s="265">
        <v>34</v>
      </c>
    </row>
    <row r="87" spans="1:6" ht="19.95" customHeight="1" x14ac:dyDescent="0.3">
      <c r="A87" s="355" t="s">
        <v>498</v>
      </c>
      <c r="B87" s="355"/>
      <c r="C87" s="355"/>
      <c r="D87" s="355"/>
      <c r="E87" s="355"/>
      <c r="F87" s="265">
        <v>34</v>
      </c>
    </row>
    <row r="88" spans="1:6" ht="37.5" customHeight="1" x14ac:dyDescent="0.3">
      <c r="A88" s="355" t="s">
        <v>499</v>
      </c>
      <c r="B88" s="355"/>
      <c r="C88" s="355"/>
      <c r="D88" s="355"/>
      <c r="E88" s="355"/>
      <c r="F88" s="265">
        <v>35</v>
      </c>
    </row>
    <row r="89" spans="1:6" ht="19.95" customHeight="1" x14ac:dyDescent="0.3">
      <c r="A89" s="355" t="s">
        <v>500</v>
      </c>
      <c r="B89" s="355"/>
      <c r="C89" s="355"/>
      <c r="D89" s="355"/>
      <c r="E89" s="355"/>
      <c r="F89" s="265">
        <v>35</v>
      </c>
    </row>
    <row r="90" spans="1:6" ht="19.95" customHeight="1" x14ac:dyDescent="0.3">
      <c r="A90" s="355" t="s">
        <v>501</v>
      </c>
      <c r="B90" s="355"/>
      <c r="C90" s="355"/>
      <c r="D90" s="355"/>
      <c r="E90" s="355"/>
      <c r="F90" s="265">
        <v>36</v>
      </c>
    </row>
    <row r="91" spans="1:6" ht="19.95" customHeight="1" x14ac:dyDescent="0.3">
      <c r="A91" s="355" t="s">
        <v>502</v>
      </c>
      <c r="B91" s="355"/>
      <c r="C91" s="355"/>
      <c r="D91" s="355"/>
      <c r="E91" s="355"/>
      <c r="F91" s="265">
        <v>36</v>
      </c>
    </row>
    <row r="92" spans="1:6" ht="19.95" customHeight="1" x14ac:dyDescent="0.3">
      <c r="A92" s="355" t="s">
        <v>503</v>
      </c>
      <c r="B92" s="355"/>
      <c r="C92" s="355"/>
      <c r="D92" s="355"/>
      <c r="E92" s="355"/>
      <c r="F92" s="265">
        <v>37</v>
      </c>
    </row>
    <row r="93" spans="1:6" ht="19.95" customHeight="1" x14ac:dyDescent="0.3">
      <c r="A93" s="355" t="s">
        <v>504</v>
      </c>
      <c r="B93" s="355"/>
      <c r="C93" s="355"/>
      <c r="D93" s="355"/>
      <c r="E93" s="355"/>
      <c r="F93" s="265">
        <v>37</v>
      </c>
    </row>
    <row r="94" spans="1:6" ht="19.95" customHeight="1" x14ac:dyDescent="0.3">
      <c r="A94" s="355" t="s">
        <v>505</v>
      </c>
      <c r="B94" s="355"/>
      <c r="C94" s="355"/>
      <c r="D94" s="355"/>
      <c r="E94" s="355"/>
      <c r="F94" s="265">
        <v>37</v>
      </c>
    </row>
    <row r="96" spans="1:6" ht="21.75" customHeight="1" x14ac:dyDescent="0.3">
      <c r="A96" s="355" t="s">
        <v>506</v>
      </c>
      <c r="B96" s="355"/>
      <c r="C96" s="355"/>
      <c r="D96" s="355"/>
      <c r="E96" s="355"/>
      <c r="F96" s="355"/>
    </row>
    <row r="97" spans="1:6" ht="21.75" customHeight="1" x14ac:dyDescent="0.3">
      <c r="A97" s="355" t="s">
        <v>507</v>
      </c>
      <c r="B97" s="355"/>
      <c r="C97" s="355"/>
      <c r="D97" s="355"/>
      <c r="E97" s="355"/>
      <c r="F97" s="355"/>
    </row>
    <row r="98" spans="1:6" ht="21.75" customHeight="1" x14ac:dyDescent="0.3">
      <c r="A98" s="356" t="s">
        <v>446</v>
      </c>
      <c r="B98" s="356"/>
      <c r="C98" s="356"/>
      <c r="D98" s="356"/>
      <c r="E98" s="356"/>
      <c r="F98" s="356"/>
    </row>
    <row r="99" spans="1:6" ht="85.5" customHeight="1" x14ac:dyDescent="0.3">
      <c r="A99" s="355" t="s">
        <v>508</v>
      </c>
      <c r="B99" s="355"/>
      <c r="C99" s="355"/>
      <c r="D99" s="355"/>
      <c r="E99" s="355"/>
      <c r="F99" s="355"/>
    </row>
    <row r="100" spans="1:6" ht="21.75" customHeight="1" x14ac:dyDescent="0.3">
      <c r="A100" s="356" t="s">
        <v>447</v>
      </c>
      <c r="B100" s="356"/>
      <c r="C100" s="356"/>
      <c r="D100" s="356"/>
      <c r="E100" s="356"/>
      <c r="F100" s="356"/>
    </row>
    <row r="101" spans="1:6" ht="54" customHeight="1" x14ac:dyDescent="0.3">
      <c r="A101" s="355" t="s">
        <v>509</v>
      </c>
      <c r="B101" s="355"/>
      <c r="C101" s="355"/>
      <c r="D101" s="355"/>
      <c r="E101" s="355"/>
      <c r="F101" s="355"/>
    </row>
    <row r="102" spans="1:6" ht="21.75" customHeight="1" x14ac:dyDescent="0.3">
      <c r="A102" s="356" t="s">
        <v>448</v>
      </c>
      <c r="B102" s="356"/>
      <c r="C102" s="356"/>
      <c r="D102" s="356"/>
      <c r="E102" s="356"/>
      <c r="F102" s="356"/>
    </row>
    <row r="103" spans="1:6" ht="54" customHeight="1" x14ac:dyDescent="0.3">
      <c r="A103" s="355" t="s">
        <v>510</v>
      </c>
      <c r="B103" s="355"/>
      <c r="C103" s="355"/>
      <c r="D103" s="355"/>
      <c r="E103" s="355"/>
      <c r="F103" s="355"/>
    </row>
    <row r="104" spans="1:6" ht="69.75" customHeight="1" x14ac:dyDescent="0.3">
      <c r="A104" s="355" t="s">
        <v>511</v>
      </c>
      <c r="B104" s="355"/>
      <c r="C104" s="355"/>
      <c r="D104" s="355"/>
      <c r="E104" s="355"/>
      <c r="F104" s="355"/>
    </row>
    <row r="105" spans="1:6" ht="85.5" customHeight="1" x14ac:dyDescent="0.3">
      <c r="A105" s="355" t="s">
        <v>512</v>
      </c>
      <c r="B105" s="355"/>
      <c r="C105" s="355"/>
      <c r="D105" s="355"/>
      <c r="E105" s="355"/>
      <c r="F105" s="355"/>
    </row>
    <row r="106" spans="1:6" ht="21.75" customHeight="1" x14ac:dyDescent="0.3">
      <c r="A106" s="356" t="s">
        <v>449</v>
      </c>
      <c r="B106" s="356"/>
      <c r="C106" s="356"/>
      <c r="D106" s="356"/>
      <c r="E106" s="356"/>
      <c r="F106" s="356"/>
    </row>
    <row r="107" spans="1:6" ht="69.75" customHeight="1" x14ac:dyDescent="0.3">
      <c r="A107" s="355" t="s">
        <v>513</v>
      </c>
      <c r="B107" s="355"/>
      <c r="C107" s="355"/>
      <c r="D107" s="355"/>
      <c r="E107" s="355"/>
      <c r="F107" s="355"/>
    </row>
    <row r="108" spans="1:6" ht="21.75" customHeight="1" x14ac:dyDescent="0.3">
      <c r="A108" s="356" t="s">
        <v>514</v>
      </c>
      <c r="B108" s="356"/>
      <c r="C108" s="356"/>
      <c r="D108" s="356"/>
      <c r="E108" s="356"/>
      <c r="F108" s="356"/>
    </row>
    <row r="109" spans="1:6" ht="21.75" customHeight="1" x14ac:dyDescent="0.3">
      <c r="A109" s="266" t="s">
        <v>1</v>
      </c>
      <c r="B109" s="361" t="s">
        <v>515</v>
      </c>
      <c r="C109" s="361"/>
      <c r="D109" s="361" t="s">
        <v>516</v>
      </c>
      <c r="E109" s="361"/>
      <c r="F109" s="361"/>
    </row>
    <row r="110" spans="1:6" ht="37.5" customHeight="1" x14ac:dyDescent="0.3">
      <c r="A110" s="267">
        <v>1</v>
      </c>
      <c r="B110" s="362" t="s">
        <v>439</v>
      </c>
      <c r="C110" s="362"/>
      <c r="D110" s="363" t="s">
        <v>517</v>
      </c>
      <c r="E110" s="363"/>
      <c r="F110" s="363"/>
    </row>
    <row r="111" spans="1:6" ht="37.5" customHeight="1" x14ac:dyDescent="0.3">
      <c r="A111" s="267"/>
      <c r="B111" s="362" t="s">
        <v>518</v>
      </c>
      <c r="C111" s="362"/>
      <c r="D111" s="363"/>
      <c r="E111" s="363"/>
      <c r="F111" s="363"/>
    </row>
    <row r="112" spans="1:6" ht="54" customHeight="1" x14ac:dyDescent="0.3">
      <c r="A112" s="267">
        <v>2</v>
      </c>
      <c r="B112" s="362" t="s">
        <v>438</v>
      </c>
      <c r="C112" s="362"/>
      <c r="D112" s="363" t="s">
        <v>519</v>
      </c>
      <c r="E112" s="363"/>
      <c r="F112" s="363"/>
    </row>
    <row r="113" spans="1:6" ht="37.5" customHeight="1" x14ac:dyDescent="0.3">
      <c r="A113" s="267"/>
      <c r="B113" s="362" t="s">
        <v>520</v>
      </c>
      <c r="C113" s="362"/>
      <c r="D113" s="363"/>
      <c r="E113" s="363"/>
      <c r="F113" s="363"/>
    </row>
    <row r="114" spans="1:6" ht="37.5" customHeight="1" x14ac:dyDescent="0.3">
      <c r="A114" s="267">
        <v>3</v>
      </c>
      <c r="B114" s="362" t="s">
        <v>521</v>
      </c>
      <c r="C114" s="362"/>
      <c r="D114" s="363" t="s">
        <v>522</v>
      </c>
      <c r="E114" s="363"/>
      <c r="F114" s="363"/>
    </row>
    <row r="115" spans="1:6" ht="69.75" customHeight="1" x14ac:dyDescent="0.3">
      <c r="A115" s="267">
        <v>4</v>
      </c>
      <c r="B115" s="362" t="s">
        <v>523</v>
      </c>
      <c r="C115" s="362"/>
      <c r="D115" s="363" t="s">
        <v>524</v>
      </c>
      <c r="E115" s="363"/>
      <c r="F115" s="363"/>
    </row>
    <row r="116" spans="1:6" ht="37.5" customHeight="1" x14ac:dyDescent="0.3">
      <c r="A116" s="267"/>
      <c r="B116" s="362" t="s">
        <v>525</v>
      </c>
      <c r="C116" s="362"/>
      <c r="D116" s="363"/>
      <c r="E116" s="363"/>
      <c r="F116" s="363"/>
    </row>
    <row r="117" spans="1:6" ht="69.75" customHeight="1" x14ac:dyDescent="0.3">
      <c r="A117" s="267">
        <v>5</v>
      </c>
      <c r="B117" s="362" t="s">
        <v>526</v>
      </c>
      <c r="C117" s="362"/>
      <c r="D117" s="363" t="s">
        <v>527</v>
      </c>
      <c r="E117" s="363"/>
      <c r="F117" s="363"/>
    </row>
    <row r="118" spans="1:6" ht="21.75" customHeight="1" x14ac:dyDescent="0.3">
      <c r="A118" s="355" t="s">
        <v>528</v>
      </c>
      <c r="B118" s="355"/>
      <c r="C118" s="355"/>
      <c r="D118" s="355"/>
      <c r="E118" s="355"/>
      <c r="F118" s="355"/>
    </row>
    <row r="119" spans="1:6" ht="21.75" customHeight="1" x14ac:dyDescent="0.3">
      <c r="A119" s="355" t="s">
        <v>529</v>
      </c>
      <c r="B119" s="355"/>
      <c r="C119" s="355"/>
      <c r="D119" s="355"/>
      <c r="E119" s="355"/>
      <c r="F119" s="355"/>
    </row>
    <row r="120" spans="1:6" ht="21.75" customHeight="1" x14ac:dyDescent="0.3">
      <c r="A120" s="356" t="s">
        <v>452</v>
      </c>
      <c r="B120" s="356"/>
      <c r="C120" s="356"/>
      <c r="D120" s="356"/>
      <c r="E120" s="356"/>
      <c r="F120" s="356"/>
    </row>
    <row r="121" spans="1:6" ht="37.5" customHeight="1" x14ac:dyDescent="0.3">
      <c r="A121" s="355" t="s">
        <v>530</v>
      </c>
      <c r="B121" s="355"/>
      <c r="C121" s="355"/>
      <c r="D121" s="355"/>
      <c r="E121" s="355"/>
      <c r="F121" s="355"/>
    </row>
    <row r="122" spans="1:6" ht="21.75" customHeight="1" x14ac:dyDescent="0.3">
      <c r="A122" s="355" t="s">
        <v>531</v>
      </c>
      <c r="B122" s="355"/>
      <c r="C122" s="355"/>
      <c r="D122" s="355"/>
      <c r="E122" s="355"/>
      <c r="F122" s="355"/>
    </row>
    <row r="123" spans="1:6" ht="21.75" customHeight="1" x14ac:dyDescent="0.3">
      <c r="A123" s="355" t="s">
        <v>532</v>
      </c>
      <c r="B123" s="355"/>
      <c r="C123" s="355"/>
      <c r="D123" s="355"/>
      <c r="E123" s="355"/>
      <c r="F123" s="355"/>
    </row>
    <row r="124" spans="1:6" ht="21.75" customHeight="1" x14ac:dyDescent="0.3">
      <c r="A124" s="355" t="s">
        <v>533</v>
      </c>
      <c r="B124" s="355"/>
      <c r="C124" s="355"/>
      <c r="D124" s="355"/>
      <c r="E124" s="355"/>
      <c r="F124" s="355"/>
    </row>
    <row r="125" spans="1:6" ht="69.75" customHeight="1" x14ac:dyDescent="0.3">
      <c r="A125" s="355" t="s">
        <v>534</v>
      </c>
      <c r="B125" s="355"/>
      <c r="C125" s="355"/>
      <c r="D125" s="355"/>
      <c r="E125" s="355"/>
      <c r="F125" s="355"/>
    </row>
    <row r="126" spans="1:6" ht="21.75" customHeight="1" x14ac:dyDescent="0.3">
      <c r="A126" s="356" t="s">
        <v>453</v>
      </c>
      <c r="B126" s="356"/>
      <c r="C126" s="356"/>
      <c r="D126" s="356"/>
      <c r="E126" s="356"/>
      <c r="F126" s="356"/>
    </row>
    <row r="127" spans="1:6" ht="54" customHeight="1" x14ac:dyDescent="0.3">
      <c r="A127" s="355" t="s">
        <v>535</v>
      </c>
      <c r="B127" s="355"/>
      <c r="C127" s="355"/>
      <c r="D127" s="355"/>
      <c r="E127" s="355"/>
      <c r="F127" s="355"/>
    </row>
    <row r="128" spans="1:6" ht="37.5" customHeight="1" x14ac:dyDescent="0.3">
      <c r="A128" s="355" t="s">
        <v>536</v>
      </c>
      <c r="B128" s="355"/>
      <c r="C128" s="355"/>
      <c r="D128" s="355"/>
      <c r="E128" s="355"/>
      <c r="F128" s="355"/>
    </row>
    <row r="129" spans="1:6" ht="37.5" customHeight="1" x14ac:dyDescent="0.3">
      <c r="A129" s="355" t="s">
        <v>537</v>
      </c>
      <c r="B129" s="355"/>
      <c r="C129" s="355"/>
      <c r="D129" s="355"/>
      <c r="E129" s="355"/>
      <c r="F129" s="355"/>
    </row>
    <row r="130" spans="1:6" ht="21.75" customHeight="1" x14ac:dyDescent="0.3">
      <c r="A130" s="356" t="s">
        <v>454</v>
      </c>
      <c r="B130" s="356"/>
      <c r="C130" s="356"/>
      <c r="D130" s="356"/>
      <c r="E130" s="356"/>
      <c r="F130" s="356"/>
    </row>
    <row r="131" spans="1:6" ht="37.5" customHeight="1" x14ac:dyDescent="0.3">
      <c r="A131" s="355" t="s">
        <v>538</v>
      </c>
      <c r="B131" s="355"/>
      <c r="C131" s="355"/>
      <c r="D131" s="355"/>
      <c r="E131" s="355"/>
      <c r="F131" s="355"/>
    </row>
    <row r="132" spans="1:6" ht="21.75" customHeight="1" x14ac:dyDescent="0.3">
      <c r="A132" s="355" t="s">
        <v>539</v>
      </c>
      <c r="B132" s="355"/>
      <c r="C132" s="355"/>
      <c r="D132" s="355"/>
      <c r="E132" s="355"/>
      <c r="F132" s="355"/>
    </row>
    <row r="133" spans="1:6" ht="37.5" customHeight="1" x14ac:dyDescent="0.3">
      <c r="A133" s="355" t="s">
        <v>540</v>
      </c>
      <c r="B133" s="355"/>
      <c r="C133" s="355"/>
      <c r="D133" s="355"/>
      <c r="E133" s="355"/>
      <c r="F133" s="355"/>
    </row>
    <row r="134" spans="1:6" ht="37.5" customHeight="1" x14ac:dyDescent="0.3">
      <c r="A134" s="355" t="s">
        <v>541</v>
      </c>
      <c r="B134" s="355"/>
      <c r="C134" s="355"/>
      <c r="D134" s="355"/>
      <c r="E134" s="355"/>
      <c r="F134" s="355"/>
    </row>
    <row r="135" spans="1:6" ht="37.5" customHeight="1" x14ac:dyDescent="0.3">
      <c r="A135" s="355" t="s">
        <v>542</v>
      </c>
      <c r="B135" s="355"/>
      <c r="C135" s="355"/>
      <c r="D135" s="355"/>
      <c r="E135" s="355"/>
      <c r="F135" s="355"/>
    </row>
    <row r="136" spans="1:6" ht="37.5" customHeight="1" x14ac:dyDescent="0.3">
      <c r="A136" s="355" t="s">
        <v>543</v>
      </c>
      <c r="B136" s="355"/>
      <c r="C136" s="355"/>
      <c r="D136" s="355"/>
      <c r="E136" s="355"/>
      <c r="F136" s="355"/>
    </row>
    <row r="137" spans="1:6" ht="37.5" customHeight="1" x14ac:dyDescent="0.3">
      <c r="A137" s="355" t="s">
        <v>544</v>
      </c>
      <c r="B137" s="355"/>
      <c r="C137" s="355"/>
      <c r="D137" s="355"/>
      <c r="E137" s="355"/>
      <c r="F137" s="355"/>
    </row>
    <row r="138" spans="1:6" ht="37.5" customHeight="1" x14ac:dyDescent="0.3">
      <c r="A138" s="355" t="s">
        <v>545</v>
      </c>
      <c r="B138" s="355"/>
      <c r="C138" s="355"/>
      <c r="D138" s="355"/>
      <c r="E138" s="355"/>
      <c r="F138" s="355"/>
    </row>
    <row r="139" spans="1:6" ht="21.75" customHeight="1" x14ac:dyDescent="0.3">
      <c r="A139" s="361" t="s">
        <v>546</v>
      </c>
      <c r="B139" s="361"/>
      <c r="C139" s="361"/>
      <c r="D139" s="361"/>
      <c r="E139" s="361" t="s">
        <v>547</v>
      </c>
      <c r="F139" s="361"/>
    </row>
    <row r="140" spans="1:6" ht="21.75" customHeight="1" x14ac:dyDescent="0.3">
      <c r="A140" s="363" t="s">
        <v>548</v>
      </c>
      <c r="B140" s="363"/>
      <c r="C140" s="363"/>
      <c r="D140" s="363"/>
      <c r="E140" s="364" t="s">
        <v>549</v>
      </c>
      <c r="F140" s="364"/>
    </row>
    <row r="141" spans="1:6" ht="69.75" customHeight="1" x14ac:dyDescent="0.3">
      <c r="A141" s="363" t="s">
        <v>550</v>
      </c>
      <c r="B141" s="363"/>
      <c r="C141" s="363"/>
      <c r="D141" s="363"/>
      <c r="E141" s="364" t="s">
        <v>549</v>
      </c>
      <c r="F141" s="364"/>
    </row>
    <row r="142" spans="1:6" ht="21.75" customHeight="1" x14ac:dyDescent="0.3">
      <c r="A142" s="363" t="s">
        <v>551</v>
      </c>
      <c r="B142" s="363"/>
      <c r="C142" s="363"/>
      <c r="D142" s="363"/>
      <c r="E142" s="364" t="s">
        <v>552</v>
      </c>
      <c r="F142" s="364"/>
    </row>
    <row r="145" spans="1:6" ht="21.75" customHeight="1" x14ac:dyDescent="0.3">
      <c r="A145" s="355" t="s">
        <v>553</v>
      </c>
      <c r="B145" s="355"/>
      <c r="C145" s="355"/>
      <c r="D145" s="355"/>
      <c r="E145" s="355"/>
      <c r="F145" s="355"/>
    </row>
    <row r="146" spans="1:6" ht="69.75" customHeight="1" x14ac:dyDescent="0.3">
      <c r="A146" s="355" t="s">
        <v>554</v>
      </c>
      <c r="B146" s="355"/>
      <c r="C146" s="355"/>
      <c r="D146" s="355"/>
      <c r="E146" s="355"/>
      <c r="F146" s="355"/>
    </row>
    <row r="147" spans="1:6" ht="54" customHeight="1" x14ac:dyDescent="0.3">
      <c r="A147" s="355" t="s">
        <v>555</v>
      </c>
      <c r="B147" s="355"/>
      <c r="C147" s="355"/>
      <c r="D147" s="355"/>
      <c r="E147" s="355"/>
      <c r="F147" s="355"/>
    </row>
    <row r="148" spans="1:6" ht="133.5" customHeight="1" x14ac:dyDescent="0.3">
      <c r="A148" s="355" t="s">
        <v>556</v>
      </c>
      <c r="B148" s="355"/>
      <c r="C148" s="355"/>
      <c r="D148" s="355"/>
      <c r="E148" s="355"/>
      <c r="F148" s="355"/>
    </row>
    <row r="149" spans="1:6" ht="54" customHeight="1" x14ac:dyDescent="0.3">
      <c r="A149" s="355" t="s">
        <v>557</v>
      </c>
      <c r="B149" s="355"/>
      <c r="C149" s="355"/>
      <c r="D149" s="355"/>
      <c r="E149" s="355"/>
      <c r="F149" s="355"/>
    </row>
    <row r="150" spans="1:6" ht="69.75" customHeight="1" x14ac:dyDescent="0.3">
      <c r="A150" s="355" t="s">
        <v>558</v>
      </c>
      <c r="B150" s="355"/>
      <c r="C150" s="355"/>
      <c r="D150" s="355"/>
      <c r="E150" s="355"/>
      <c r="F150" s="355"/>
    </row>
    <row r="151" spans="1:6" ht="54" customHeight="1" x14ac:dyDescent="0.3">
      <c r="A151" s="355" t="s">
        <v>559</v>
      </c>
      <c r="B151" s="355"/>
      <c r="C151" s="355"/>
      <c r="D151" s="355"/>
      <c r="E151" s="355"/>
      <c r="F151" s="355"/>
    </row>
    <row r="152" spans="1:6" ht="85.5" customHeight="1" x14ac:dyDescent="0.3">
      <c r="A152" s="355" t="s">
        <v>560</v>
      </c>
      <c r="B152" s="355"/>
      <c r="C152" s="355"/>
      <c r="D152" s="355"/>
      <c r="E152" s="355"/>
      <c r="F152" s="355"/>
    </row>
    <row r="153" spans="1:6" ht="54" customHeight="1" x14ac:dyDescent="0.3">
      <c r="A153" s="355" t="s">
        <v>561</v>
      </c>
      <c r="B153" s="355"/>
      <c r="C153" s="355"/>
      <c r="D153" s="355"/>
      <c r="E153" s="355"/>
      <c r="F153" s="355"/>
    </row>
    <row r="154" spans="1:6" ht="85.5" customHeight="1" x14ac:dyDescent="0.3">
      <c r="A154" s="355" t="s">
        <v>562</v>
      </c>
      <c r="B154" s="355"/>
      <c r="C154" s="355"/>
      <c r="D154" s="355"/>
      <c r="E154" s="355"/>
      <c r="F154" s="355"/>
    </row>
    <row r="155" spans="1:6" ht="21.75" customHeight="1" x14ac:dyDescent="0.3">
      <c r="A155" s="356" t="s">
        <v>455</v>
      </c>
      <c r="B155" s="356"/>
      <c r="C155" s="356"/>
      <c r="D155" s="356"/>
      <c r="E155" s="356"/>
      <c r="F155" s="356"/>
    </row>
    <row r="156" spans="1:6" ht="69.75" customHeight="1" x14ac:dyDescent="0.3">
      <c r="A156" s="355" t="s">
        <v>563</v>
      </c>
      <c r="B156" s="355"/>
      <c r="C156" s="355"/>
      <c r="D156" s="355"/>
      <c r="E156" s="355"/>
      <c r="F156" s="355"/>
    </row>
    <row r="157" spans="1:6" ht="54" customHeight="1" x14ac:dyDescent="0.3">
      <c r="A157" s="355" t="s">
        <v>564</v>
      </c>
      <c r="B157" s="355"/>
      <c r="C157" s="355"/>
      <c r="D157" s="355"/>
      <c r="E157" s="355"/>
      <c r="F157" s="355"/>
    </row>
    <row r="158" spans="1:6" ht="21.75" customHeight="1" x14ac:dyDescent="0.3">
      <c r="A158" s="356" t="s">
        <v>456</v>
      </c>
      <c r="B158" s="356"/>
      <c r="C158" s="356"/>
      <c r="D158" s="356"/>
      <c r="E158" s="356"/>
      <c r="F158" s="356"/>
    </row>
    <row r="159" spans="1:6" ht="37.5" customHeight="1" x14ac:dyDescent="0.3">
      <c r="A159" s="355" t="s">
        <v>565</v>
      </c>
      <c r="B159" s="355"/>
      <c r="C159" s="355"/>
      <c r="D159" s="355"/>
      <c r="E159" s="355"/>
      <c r="F159" s="355"/>
    </row>
    <row r="160" spans="1:6" ht="69.75" customHeight="1" x14ac:dyDescent="0.3">
      <c r="A160" s="355" t="s">
        <v>566</v>
      </c>
      <c r="B160" s="355"/>
      <c r="C160" s="355"/>
      <c r="D160" s="355"/>
      <c r="E160" s="355"/>
      <c r="F160" s="355"/>
    </row>
    <row r="161" spans="1:6" ht="21.75" customHeight="1" x14ac:dyDescent="0.3">
      <c r="A161" s="356" t="s">
        <v>567</v>
      </c>
      <c r="B161" s="356"/>
      <c r="C161" s="356"/>
      <c r="D161" s="356"/>
      <c r="E161" s="356"/>
      <c r="F161" s="356"/>
    </row>
    <row r="162" spans="1:6" ht="21.75" customHeight="1" x14ac:dyDescent="0.3">
      <c r="A162" s="355" t="s">
        <v>568</v>
      </c>
      <c r="B162" s="355"/>
      <c r="C162" s="355"/>
      <c r="D162" s="355"/>
      <c r="E162" s="355"/>
      <c r="F162" s="355"/>
    </row>
    <row r="163" spans="1:6" ht="85.5" customHeight="1" x14ac:dyDescent="0.3">
      <c r="A163" s="355" t="s">
        <v>569</v>
      </c>
      <c r="B163" s="355"/>
      <c r="C163" s="355"/>
      <c r="D163" s="355"/>
      <c r="E163" s="355"/>
      <c r="F163" s="355"/>
    </row>
    <row r="164" spans="1:6" ht="102" customHeight="1" x14ac:dyDescent="0.3">
      <c r="A164" s="355" t="s">
        <v>570</v>
      </c>
      <c r="B164" s="355"/>
      <c r="C164" s="355"/>
      <c r="D164" s="355"/>
      <c r="E164" s="355"/>
      <c r="F164" s="355"/>
    </row>
    <row r="165" spans="1:6" ht="54" customHeight="1" x14ac:dyDescent="0.3">
      <c r="A165" s="355" t="s">
        <v>571</v>
      </c>
      <c r="B165" s="355"/>
      <c r="C165" s="355"/>
      <c r="D165" s="355"/>
      <c r="E165" s="355"/>
      <c r="F165" s="355"/>
    </row>
    <row r="166" spans="1:6" ht="37.5" customHeight="1" x14ac:dyDescent="0.3">
      <c r="A166" s="355" t="s">
        <v>572</v>
      </c>
      <c r="B166" s="355"/>
      <c r="C166" s="355"/>
      <c r="D166" s="355"/>
      <c r="E166" s="355"/>
      <c r="F166" s="355"/>
    </row>
    <row r="167" spans="1:6" ht="37.5" customHeight="1" x14ac:dyDescent="0.3">
      <c r="A167" s="355" t="s">
        <v>573</v>
      </c>
      <c r="B167" s="355"/>
      <c r="C167" s="355"/>
      <c r="D167" s="355"/>
      <c r="E167" s="355"/>
      <c r="F167" s="355"/>
    </row>
    <row r="168" spans="1:6" ht="21.75" customHeight="1" x14ac:dyDescent="0.3">
      <c r="A168" s="355" t="s">
        <v>574</v>
      </c>
      <c r="B168" s="355"/>
      <c r="C168" s="355"/>
      <c r="D168" s="355"/>
      <c r="E168" s="355"/>
      <c r="F168" s="355"/>
    </row>
    <row r="169" spans="1:6" ht="21.75" customHeight="1" x14ac:dyDescent="0.3">
      <c r="A169" s="356" t="s">
        <v>575</v>
      </c>
      <c r="B169" s="356"/>
      <c r="C169" s="356"/>
      <c r="D169" s="356"/>
      <c r="E169" s="356"/>
      <c r="F169" s="356"/>
    </row>
    <row r="170" spans="1:6" ht="37.5" customHeight="1" x14ac:dyDescent="0.3">
      <c r="A170" s="361" t="s">
        <v>1</v>
      </c>
      <c r="B170" s="361" t="s">
        <v>576</v>
      </c>
      <c r="C170" s="361" t="s">
        <v>577</v>
      </c>
      <c r="D170" s="361" t="s">
        <v>578</v>
      </c>
      <c r="E170" s="361" t="s">
        <v>31</v>
      </c>
      <c r="F170" s="361"/>
    </row>
    <row r="171" spans="1:6" ht="3.75" customHeight="1" x14ac:dyDescent="0.3">
      <c r="A171" s="361"/>
      <c r="B171" s="361"/>
      <c r="C171" s="361"/>
      <c r="D171" s="361"/>
      <c r="E171" s="361"/>
      <c r="F171" s="361"/>
    </row>
    <row r="172" spans="1:6" ht="133.5" customHeight="1" x14ac:dyDescent="0.3">
      <c r="A172" s="364">
        <v>1</v>
      </c>
      <c r="B172" s="364" t="s">
        <v>579</v>
      </c>
      <c r="C172" s="364" t="s">
        <v>580</v>
      </c>
      <c r="D172" s="268" t="s">
        <v>581</v>
      </c>
      <c r="E172" s="363" t="s">
        <v>582</v>
      </c>
      <c r="F172" s="363"/>
    </row>
    <row r="173" spans="1:6" ht="69.75" customHeight="1" x14ac:dyDescent="0.3">
      <c r="A173" s="364"/>
      <c r="B173" s="364"/>
      <c r="C173" s="364"/>
      <c r="D173" s="268" t="s">
        <v>583</v>
      </c>
      <c r="E173" s="363" t="s">
        <v>584</v>
      </c>
      <c r="F173" s="363"/>
    </row>
    <row r="174" spans="1:6" ht="150" customHeight="1" x14ac:dyDescent="0.3">
      <c r="A174" s="364"/>
      <c r="B174" s="364"/>
      <c r="C174" s="364"/>
      <c r="D174" s="268" t="s">
        <v>585</v>
      </c>
      <c r="E174" s="363" t="s">
        <v>586</v>
      </c>
      <c r="F174" s="363"/>
    </row>
    <row r="175" spans="1:6" ht="133.5" customHeight="1" x14ac:dyDescent="0.3">
      <c r="A175" s="364">
        <v>2</v>
      </c>
      <c r="B175" s="364" t="s">
        <v>587</v>
      </c>
      <c r="C175" s="364" t="s">
        <v>588</v>
      </c>
      <c r="D175" s="268" t="s">
        <v>581</v>
      </c>
      <c r="E175" s="363" t="s">
        <v>589</v>
      </c>
      <c r="F175" s="363"/>
    </row>
    <row r="176" spans="1:6" ht="54" customHeight="1" x14ac:dyDescent="0.3">
      <c r="A176" s="364"/>
      <c r="B176" s="364"/>
      <c r="C176" s="364"/>
      <c r="D176" s="268" t="s">
        <v>590</v>
      </c>
      <c r="E176" s="363"/>
      <c r="F176" s="363"/>
    </row>
    <row r="177" spans="1:6" ht="69.75" customHeight="1" x14ac:dyDescent="0.3">
      <c r="A177" s="355" t="s">
        <v>591</v>
      </c>
      <c r="B177" s="355"/>
      <c r="C177" s="355"/>
      <c r="D177" s="355"/>
      <c r="E177" s="355"/>
      <c r="F177" s="355"/>
    </row>
    <row r="178" spans="1:6" ht="21.75" customHeight="1" x14ac:dyDescent="0.3">
      <c r="A178" s="356" t="s">
        <v>457</v>
      </c>
      <c r="B178" s="356"/>
      <c r="C178" s="356"/>
      <c r="D178" s="356"/>
      <c r="E178" s="356"/>
      <c r="F178" s="356"/>
    </row>
    <row r="179" spans="1:6" ht="69.75" customHeight="1" x14ac:dyDescent="0.3">
      <c r="A179" s="355" t="s">
        <v>592</v>
      </c>
      <c r="B179" s="355"/>
      <c r="C179" s="355"/>
      <c r="D179" s="355"/>
      <c r="E179" s="355"/>
      <c r="F179" s="355"/>
    </row>
    <row r="180" spans="1:6" ht="21.75" customHeight="1" x14ac:dyDescent="0.3">
      <c r="A180" s="355" t="s">
        <v>593</v>
      </c>
      <c r="B180" s="355"/>
      <c r="C180" s="355"/>
      <c r="D180" s="355"/>
      <c r="E180" s="355"/>
      <c r="F180" s="355"/>
    </row>
    <row r="181" spans="1:6" ht="69.75" customHeight="1" x14ac:dyDescent="0.3">
      <c r="A181" s="355" t="s">
        <v>594</v>
      </c>
      <c r="B181" s="355"/>
      <c r="C181" s="355"/>
      <c r="D181" s="355"/>
      <c r="E181" s="355"/>
      <c r="F181" s="355"/>
    </row>
    <row r="182" spans="1:6" ht="54" customHeight="1" x14ac:dyDescent="0.3">
      <c r="A182" s="355" t="s">
        <v>595</v>
      </c>
      <c r="B182" s="355"/>
      <c r="C182" s="355"/>
      <c r="D182" s="355"/>
      <c r="E182" s="355"/>
      <c r="F182" s="355"/>
    </row>
    <row r="183" spans="1:6" ht="37.5" customHeight="1" x14ac:dyDescent="0.3">
      <c r="A183" s="355" t="s">
        <v>596</v>
      </c>
      <c r="B183" s="355"/>
      <c r="C183" s="355"/>
      <c r="D183" s="355"/>
      <c r="E183" s="355"/>
      <c r="F183" s="355"/>
    </row>
    <row r="184" spans="1:6" ht="37.5" customHeight="1" x14ac:dyDescent="0.3">
      <c r="A184" s="355" t="s">
        <v>597</v>
      </c>
      <c r="B184" s="355"/>
      <c r="C184" s="355"/>
      <c r="D184" s="355"/>
      <c r="E184" s="355"/>
      <c r="F184" s="355"/>
    </row>
    <row r="185" spans="1:6" ht="54" customHeight="1" x14ac:dyDescent="0.3">
      <c r="A185" s="355" t="s">
        <v>598</v>
      </c>
      <c r="B185" s="355"/>
      <c r="C185" s="355"/>
      <c r="D185" s="355"/>
      <c r="E185" s="355"/>
      <c r="F185" s="355"/>
    </row>
    <row r="186" spans="1:6" ht="69.75" customHeight="1" x14ac:dyDescent="0.3">
      <c r="A186" s="355" t="s">
        <v>599</v>
      </c>
      <c r="B186" s="355"/>
      <c r="C186" s="355"/>
      <c r="D186" s="355"/>
      <c r="E186" s="355"/>
      <c r="F186" s="355"/>
    </row>
    <row r="187" spans="1:6" ht="54" customHeight="1" x14ac:dyDescent="0.3">
      <c r="A187" s="355" t="s">
        <v>600</v>
      </c>
      <c r="B187" s="355"/>
      <c r="C187" s="355"/>
      <c r="D187" s="355"/>
      <c r="E187" s="355"/>
      <c r="F187" s="355"/>
    </row>
    <row r="188" spans="1:6" ht="102" customHeight="1" x14ac:dyDescent="0.3">
      <c r="A188" s="355" t="s">
        <v>601</v>
      </c>
      <c r="B188" s="355"/>
      <c r="C188" s="355"/>
      <c r="D188" s="355"/>
      <c r="E188" s="355"/>
      <c r="F188" s="355"/>
    </row>
    <row r="189" spans="1:6" ht="21.75" customHeight="1" x14ac:dyDescent="0.3">
      <c r="A189" s="356" t="s">
        <v>458</v>
      </c>
      <c r="B189" s="356"/>
      <c r="C189" s="356"/>
      <c r="D189" s="356"/>
      <c r="E189" s="356"/>
      <c r="F189" s="356"/>
    </row>
    <row r="190" spans="1:6" ht="54" customHeight="1" x14ac:dyDescent="0.3">
      <c r="A190" s="355" t="s">
        <v>602</v>
      </c>
      <c r="B190" s="355"/>
      <c r="C190" s="355"/>
      <c r="D190" s="355"/>
      <c r="E190" s="355"/>
      <c r="F190" s="355"/>
    </row>
    <row r="191" spans="1:6" ht="69.75" customHeight="1" x14ac:dyDescent="0.3">
      <c r="A191" s="355" t="s">
        <v>603</v>
      </c>
      <c r="B191" s="355"/>
      <c r="C191" s="355"/>
      <c r="D191" s="355"/>
      <c r="E191" s="355"/>
      <c r="F191" s="355"/>
    </row>
    <row r="192" spans="1:6" ht="117.75" customHeight="1" x14ac:dyDescent="0.3">
      <c r="A192" s="355" t="s">
        <v>604</v>
      </c>
      <c r="B192" s="355"/>
      <c r="C192" s="355"/>
      <c r="D192" s="355"/>
      <c r="E192" s="355"/>
      <c r="F192" s="355"/>
    </row>
    <row r="193" spans="1:6" ht="85.5" customHeight="1" x14ac:dyDescent="0.3">
      <c r="A193" s="355" t="s">
        <v>605</v>
      </c>
      <c r="B193" s="355"/>
      <c r="C193" s="355"/>
      <c r="D193" s="355"/>
      <c r="E193" s="355"/>
      <c r="F193" s="355"/>
    </row>
    <row r="194" spans="1:6" ht="54" customHeight="1" x14ac:dyDescent="0.3">
      <c r="A194" s="355" t="s">
        <v>606</v>
      </c>
      <c r="B194" s="355"/>
      <c r="C194" s="355"/>
      <c r="D194" s="355"/>
      <c r="E194" s="355"/>
      <c r="F194" s="355"/>
    </row>
    <row r="195" spans="1:6" ht="54" customHeight="1" x14ac:dyDescent="0.3">
      <c r="A195" s="355" t="s">
        <v>607</v>
      </c>
      <c r="B195" s="355"/>
      <c r="C195" s="355"/>
      <c r="D195" s="355"/>
      <c r="E195" s="355"/>
      <c r="F195" s="355"/>
    </row>
    <row r="196" spans="1:6" ht="21.75" customHeight="1" x14ac:dyDescent="0.3">
      <c r="A196" s="356" t="s">
        <v>459</v>
      </c>
      <c r="B196" s="356"/>
      <c r="C196" s="356"/>
      <c r="D196" s="356"/>
      <c r="E196" s="356"/>
      <c r="F196" s="356"/>
    </row>
    <row r="197" spans="1:6" ht="21.75" customHeight="1" x14ac:dyDescent="0.3">
      <c r="A197" s="355" t="s">
        <v>608</v>
      </c>
      <c r="B197" s="355"/>
      <c r="C197" s="355"/>
      <c r="D197" s="355"/>
      <c r="E197" s="355"/>
      <c r="F197" s="355"/>
    </row>
    <row r="198" spans="1:6" ht="37.5" customHeight="1" x14ac:dyDescent="0.3">
      <c r="A198" s="355" t="s">
        <v>609</v>
      </c>
      <c r="B198" s="355"/>
      <c r="C198" s="355"/>
      <c r="D198" s="355"/>
      <c r="E198" s="355"/>
      <c r="F198" s="355"/>
    </row>
    <row r="199" spans="1:6" ht="21.75" customHeight="1" x14ac:dyDescent="0.3">
      <c r="A199" s="355" t="s">
        <v>610</v>
      </c>
      <c r="B199" s="355"/>
      <c r="C199" s="355"/>
      <c r="D199" s="355"/>
      <c r="E199" s="355"/>
      <c r="F199" s="355"/>
    </row>
    <row r="200" spans="1:6" ht="117.75" customHeight="1" x14ac:dyDescent="0.3">
      <c r="A200" s="355" t="s">
        <v>611</v>
      </c>
      <c r="B200" s="355"/>
      <c r="C200" s="355"/>
      <c r="D200" s="355"/>
      <c r="E200" s="355"/>
      <c r="F200" s="355"/>
    </row>
    <row r="201" spans="1:6" ht="69.75" customHeight="1" x14ac:dyDescent="0.3">
      <c r="A201" s="355" t="s">
        <v>612</v>
      </c>
      <c r="B201" s="355"/>
      <c r="C201" s="355"/>
      <c r="D201" s="355"/>
      <c r="E201" s="355"/>
      <c r="F201" s="355"/>
    </row>
    <row r="202" spans="1:6" ht="69.75" customHeight="1" x14ac:dyDescent="0.3">
      <c r="A202" s="355" t="s">
        <v>613</v>
      </c>
      <c r="B202" s="355"/>
      <c r="C202" s="355"/>
      <c r="D202" s="355"/>
      <c r="E202" s="355"/>
      <c r="F202" s="355"/>
    </row>
    <row r="203" spans="1:6" ht="37.5" customHeight="1" x14ac:dyDescent="0.3">
      <c r="A203" s="355" t="s">
        <v>614</v>
      </c>
      <c r="B203" s="355"/>
      <c r="C203" s="355"/>
      <c r="D203" s="355"/>
      <c r="E203" s="355"/>
      <c r="F203" s="355"/>
    </row>
    <row r="205" spans="1:6" ht="21.75" customHeight="1" x14ac:dyDescent="0.3">
      <c r="A205" s="355" t="s">
        <v>615</v>
      </c>
      <c r="B205" s="355"/>
      <c r="C205" s="355"/>
      <c r="D205" s="355"/>
      <c r="E205" s="355"/>
      <c r="F205" s="355"/>
    </row>
    <row r="206" spans="1:6" ht="21.75" customHeight="1" x14ac:dyDescent="0.3">
      <c r="A206" s="355" t="s">
        <v>616</v>
      </c>
      <c r="B206" s="355"/>
      <c r="C206" s="355"/>
      <c r="D206" s="355"/>
      <c r="E206" s="355"/>
      <c r="F206" s="355"/>
    </row>
    <row r="207" spans="1:6" ht="21.75" customHeight="1" x14ac:dyDescent="0.3">
      <c r="A207" s="356" t="s">
        <v>461</v>
      </c>
      <c r="B207" s="356"/>
      <c r="C207" s="356"/>
      <c r="D207" s="356"/>
      <c r="E207" s="356"/>
      <c r="F207" s="356"/>
    </row>
    <row r="208" spans="1:6" ht="21.75" customHeight="1" x14ac:dyDescent="0.3">
      <c r="A208" s="355" t="s">
        <v>617</v>
      </c>
      <c r="B208" s="355"/>
      <c r="C208" s="355"/>
      <c r="D208" s="355"/>
      <c r="E208" s="355"/>
      <c r="F208" s="355"/>
    </row>
    <row r="209" spans="1:6" ht="69.75" customHeight="1" x14ac:dyDescent="0.3">
      <c r="A209" s="361" t="s">
        <v>1</v>
      </c>
      <c r="B209" s="361" t="s">
        <v>618</v>
      </c>
      <c r="C209" s="361" t="s">
        <v>619</v>
      </c>
      <c r="D209" s="361"/>
      <c r="E209" s="361"/>
      <c r="F209" s="361"/>
    </row>
    <row r="210" spans="1:6" ht="3.75" customHeight="1" x14ac:dyDescent="0.3">
      <c r="A210" s="361"/>
      <c r="B210" s="361"/>
      <c r="C210" s="361"/>
      <c r="D210" s="361"/>
      <c r="E210" s="361"/>
      <c r="F210" s="361"/>
    </row>
    <row r="211" spans="1:6" ht="21.75" customHeight="1" x14ac:dyDescent="0.3">
      <c r="A211" s="364">
        <v>1</v>
      </c>
      <c r="B211" s="365" t="s">
        <v>620</v>
      </c>
      <c r="C211" s="363" t="s">
        <v>621</v>
      </c>
      <c r="D211" s="363"/>
      <c r="E211" s="363"/>
      <c r="F211" s="363"/>
    </row>
    <row r="212" spans="1:6" ht="21.75" customHeight="1" x14ac:dyDescent="0.3">
      <c r="A212" s="364"/>
      <c r="B212" s="364"/>
      <c r="C212" s="363" t="s">
        <v>622</v>
      </c>
      <c r="D212" s="363"/>
      <c r="E212" s="363"/>
      <c r="F212" s="363"/>
    </row>
    <row r="213" spans="1:6" ht="21.75" customHeight="1" x14ac:dyDescent="0.3">
      <c r="A213" s="364"/>
      <c r="B213" s="364"/>
      <c r="C213" s="363" t="s">
        <v>623</v>
      </c>
      <c r="D213" s="363"/>
      <c r="E213" s="363"/>
      <c r="F213" s="363"/>
    </row>
    <row r="214" spans="1:6" ht="21.75" customHeight="1" x14ac:dyDescent="0.3">
      <c r="A214" s="364"/>
      <c r="B214" s="364"/>
      <c r="C214" s="363" t="s">
        <v>624</v>
      </c>
      <c r="D214" s="363"/>
      <c r="E214" s="363"/>
      <c r="F214" s="363"/>
    </row>
    <row r="215" spans="1:6" ht="21.75" customHeight="1" x14ac:dyDescent="0.3">
      <c r="A215" s="364"/>
      <c r="B215" s="364"/>
      <c r="C215" s="363" t="s">
        <v>625</v>
      </c>
      <c r="D215" s="363"/>
      <c r="E215" s="363"/>
      <c r="F215" s="363"/>
    </row>
    <row r="216" spans="1:6" ht="37.5" customHeight="1" x14ac:dyDescent="0.3">
      <c r="A216" s="364"/>
      <c r="B216" s="364"/>
      <c r="C216" s="363" t="s">
        <v>626</v>
      </c>
      <c r="D216" s="363"/>
      <c r="E216" s="363"/>
      <c r="F216" s="363"/>
    </row>
    <row r="217" spans="1:6" ht="37.5" customHeight="1" x14ac:dyDescent="0.3">
      <c r="A217" s="364"/>
      <c r="B217" s="364"/>
      <c r="C217" s="363" t="s">
        <v>627</v>
      </c>
      <c r="D217" s="363"/>
      <c r="E217" s="363"/>
      <c r="F217" s="363"/>
    </row>
    <row r="218" spans="1:6" ht="37.5" customHeight="1" x14ac:dyDescent="0.3">
      <c r="A218" s="364"/>
      <c r="B218" s="364"/>
      <c r="C218" s="363" t="s">
        <v>628</v>
      </c>
      <c r="D218" s="363"/>
      <c r="E218" s="363"/>
      <c r="F218" s="363"/>
    </row>
    <row r="219" spans="1:6" ht="21.75" customHeight="1" x14ac:dyDescent="0.3">
      <c r="A219" s="364"/>
      <c r="B219" s="364"/>
      <c r="C219" s="363" t="s">
        <v>629</v>
      </c>
      <c r="D219" s="363"/>
      <c r="E219" s="363"/>
      <c r="F219" s="363"/>
    </row>
    <row r="220" spans="1:6" ht="21.75" customHeight="1" x14ac:dyDescent="0.3">
      <c r="A220" s="364">
        <v>2</v>
      </c>
      <c r="B220" s="365" t="s">
        <v>630</v>
      </c>
      <c r="C220" s="363" t="s">
        <v>621</v>
      </c>
      <c r="D220" s="363"/>
      <c r="E220" s="363"/>
      <c r="F220" s="363"/>
    </row>
    <row r="221" spans="1:6" ht="21.75" customHeight="1" x14ac:dyDescent="0.3">
      <c r="A221" s="364"/>
      <c r="B221" s="364"/>
      <c r="C221" s="363" t="s">
        <v>631</v>
      </c>
      <c r="D221" s="363"/>
      <c r="E221" s="363"/>
      <c r="F221" s="363"/>
    </row>
    <row r="222" spans="1:6" ht="21.75" customHeight="1" x14ac:dyDescent="0.3">
      <c r="A222" s="364"/>
      <c r="B222" s="364"/>
      <c r="C222" s="363" t="s">
        <v>622</v>
      </c>
      <c r="D222" s="363"/>
      <c r="E222" s="363"/>
      <c r="F222" s="363"/>
    </row>
    <row r="223" spans="1:6" ht="21.75" customHeight="1" x14ac:dyDescent="0.3">
      <c r="A223" s="364"/>
      <c r="B223" s="364"/>
      <c r="C223" s="363" t="s">
        <v>632</v>
      </c>
      <c r="D223" s="363"/>
      <c r="E223" s="363"/>
      <c r="F223" s="363"/>
    </row>
    <row r="224" spans="1:6" ht="21.75" customHeight="1" x14ac:dyDescent="0.3">
      <c r="A224" s="364"/>
      <c r="B224" s="364"/>
      <c r="C224" s="363" t="s">
        <v>625</v>
      </c>
      <c r="D224" s="363"/>
      <c r="E224" s="363"/>
      <c r="F224" s="363"/>
    </row>
    <row r="225" spans="1:6" ht="37.5" customHeight="1" x14ac:dyDescent="0.3">
      <c r="A225" s="364"/>
      <c r="B225" s="364"/>
      <c r="C225" s="363" t="s">
        <v>626</v>
      </c>
      <c r="D225" s="363"/>
      <c r="E225" s="363"/>
      <c r="F225" s="363"/>
    </row>
    <row r="226" spans="1:6" ht="21.75" customHeight="1" x14ac:dyDescent="0.3">
      <c r="A226" s="364"/>
      <c r="B226" s="364"/>
      <c r="C226" s="363" t="s">
        <v>633</v>
      </c>
      <c r="D226" s="363"/>
      <c r="E226" s="363"/>
      <c r="F226" s="363"/>
    </row>
    <row r="227" spans="1:6" ht="37.5" customHeight="1" x14ac:dyDescent="0.3">
      <c r="A227" s="364"/>
      <c r="B227" s="364"/>
      <c r="C227" s="363" t="s">
        <v>628</v>
      </c>
      <c r="D227" s="363"/>
      <c r="E227" s="363"/>
      <c r="F227" s="363"/>
    </row>
    <row r="228" spans="1:6" ht="21.75" customHeight="1" x14ac:dyDescent="0.3">
      <c r="A228" s="364"/>
      <c r="B228" s="364"/>
      <c r="C228" s="363" t="s">
        <v>629</v>
      </c>
      <c r="D228" s="363"/>
      <c r="E228" s="363"/>
      <c r="F228" s="363"/>
    </row>
    <row r="229" spans="1:6" ht="21.75" customHeight="1" x14ac:dyDescent="0.3">
      <c r="A229" s="364">
        <v>3</v>
      </c>
      <c r="B229" s="365" t="s">
        <v>634</v>
      </c>
      <c r="C229" s="363" t="s">
        <v>621</v>
      </c>
      <c r="D229" s="363"/>
      <c r="E229" s="363"/>
      <c r="F229" s="363"/>
    </row>
    <row r="230" spans="1:6" ht="21.75" customHeight="1" x14ac:dyDescent="0.3">
      <c r="A230" s="364"/>
      <c r="B230" s="364"/>
      <c r="C230" s="363" t="s">
        <v>622</v>
      </c>
      <c r="D230" s="363"/>
      <c r="E230" s="363"/>
      <c r="F230" s="363"/>
    </row>
    <row r="231" spans="1:6" ht="21.75" customHeight="1" x14ac:dyDescent="0.3">
      <c r="A231" s="364"/>
      <c r="B231" s="364"/>
      <c r="C231" s="363" t="s">
        <v>623</v>
      </c>
      <c r="D231" s="363"/>
      <c r="E231" s="363"/>
      <c r="F231" s="363"/>
    </row>
    <row r="232" spans="1:6" ht="21.75" customHeight="1" x14ac:dyDescent="0.3">
      <c r="A232" s="364"/>
      <c r="B232" s="364"/>
      <c r="C232" s="363" t="s">
        <v>624</v>
      </c>
      <c r="D232" s="363"/>
      <c r="E232" s="363"/>
      <c r="F232" s="363"/>
    </row>
    <row r="233" spans="1:6" ht="21.75" customHeight="1" x14ac:dyDescent="0.3">
      <c r="A233" s="364"/>
      <c r="B233" s="364"/>
      <c r="C233" s="363" t="s">
        <v>625</v>
      </c>
      <c r="D233" s="363"/>
      <c r="E233" s="363"/>
      <c r="F233" s="363"/>
    </row>
    <row r="234" spans="1:6" ht="37.5" customHeight="1" x14ac:dyDescent="0.3">
      <c r="A234" s="364"/>
      <c r="B234" s="364"/>
      <c r="C234" s="363" t="s">
        <v>626</v>
      </c>
      <c r="D234" s="363"/>
      <c r="E234" s="363"/>
      <c r="F234" s="363"/>
    </row>
    <row r="235" spans="1:6" ht="37.5" customHeight="1" x14ac:dyDescent="0.3">
      <c r="A235" s="364"/>
      <c r="B235" s="364"/>
      <c r="C235" s="363" t="s">
        <v>627</v>
      </c>
      <c r="D235" s="363"/>
      <c r="E235" s="363"/>
      <c r="F235" s="363"/>
    </row>
    <row r="236" spans="1:6" ht="37.5" customHeight="1" x14ac:dyDescent="0.3">
      <c r="A236" s="364"/>
      <c r="B236" s="364"/>
      <c r="C236" s="363" t="s">
        <v>628</v>
      </c>
      <c r="D236" s="363"/>
      <c r="E236" s="363"/>
      <c r="F236" s="363"/>
    </row>
    <row r="237" spans="1:6" ht="21.75" customHeight="1" x14ac:dyDescent="0.3">
      <c r="A237" s="364"/>
      <c r="B237" s="364"/>
      <c r="C237" s="363" t="s">
        <v>629</v>
      </c>
      <c r="D237" s="363"/>
      <c r="E237" s="363"/>
      <c r="F237" s="363"/>
    </row>
    <row r="238" spans="1:6" ht="21.75" customHeight="1" x14ac:dyDescent="0.3">
      <c r="A238" s="364">
        <v>4</v>
      </c>
      <c r="B238" s="365" t="s">
        <v>635</v>
      </c>
      <c r="C238" s="363" t="s">
        <v>621</v>
      </c>
      <c r="D238" s="363"/>
      <c r="E238" s="363"/>
      <c r="F238" s="363"/>
    </row>
    <row r="239" spans="1:6" ht="21.75" customHeight="1" x14ac:dyDescent="0.3">
      <c r="A239" s="364"/>
      <c r="B239" s="364"/>
      <c r="C239" s="363" t="s">
        <v>622</v>
      </c>
      <c r="D239" s="363"/>
      <c r="E239" s="363"/>
      <c r="F239" s="363"/>
    </row>
    <row r="240" spans="1:6" ht="21.75" customHeight="1" x14ac:dyDescent="0.3">
      <c r="A240" s="364"/>
      <c r="B240" s="364"/>
      <c r="C240" s="363" t="s">
        <v>623</v>
      </c>
      <c r="D240" s="363"/>
      <c r="E240" s="363"/>
      <c r="F240" s="363"/>
    </row>
    <row r="241" spans="1:6" ht="21.75" customHeight="1" x14ac:dyDescent="0.3">
      <c r="A241" s="364"/>
      <c r="B241" s="364"/>
      <c r="C241" s="363" t="s">
        <v>629</v>
      </c>
      <c r="D241" s="363"/>
      <c r="E241" s="363"/>
      <c r="F241" s="363"/>
    </row>
    <row r="242" spans="1:6" ht="21.75" customHeight="1" x14ac:dyDescent="0.3">
      <c r="A242" s="364"/>
      <c r="B242" s="364"/>
      <c r="C242" s="363" t="s">
        <v>625</v>
      </c>
      <c r="D242" s="363"/>
      <c r="E242" s="363"/>
      <c r="F242" s="363"/>
    </row>
    <row r="243" spans="1:6" ht="37.5" customHeight="1" x14ac:dyDescent="0.3">
      <c r="A243" s="364"/>
      <c r="B243" s="364"/>
      <c r="C243" s="363" t="s">
        <v>626</v>
      </c>
      <c r="D243" s="363"/>
      <c r="E243" s="363"/>
      <c r="F243" s="363"/>
    </row>
    <row r="244" spans="1:6" ht="37.5" customHeight="1" x14ac:dyDescent="0.3">
      <c r="A244" s="364"/>
      <c r="B244" s="364"/>
      <c r="C244" s="363" t="s">
        <v>636</v>
      </c>
      <c r="D244" s="363"/>
      <c r="E244" s="363"/>
      <c r="F244" s="363"/>
    </row>
    <row r="245" spans="1:6" ht="21.75" customHeight="1" x14ac:dyDescent="0.3">
      <c r="A245" s="364"/>
      <c r="B245" s="364"/>
      <c r="C245" s="363" t="s">
        <v>629</v>
      </c>
      <c r="D245" s="363"/>
      <c r="E245" s="363"/>
      <c r="F245" s="363"/>
    </row>
    <row r="246" spans="1:6" ht="21.75" customHeight="1" x14ac:dyDescent="0.3">
      <c r="A246" s="364">
        <v>5</v>
      </c>
      <c r="B246" s="365" t="s">
        <v>637</v>
      </c>
      <c r="C246" s="363" t="s">
        <v>621</v>
      </c>
      <c r="D246" s="363"/>
      <c r="E246" s="363"/>
      <c r="F246" s="363"/>
    </row>
    <row r="247" spans="1:6" ht="21.75" customHeight="1" x14ac:dyDescent="0.3">
      <c r="A247" s="364"/>
      <c r="B247" s="364"/>
      <c r="C247" s="363" t="s">
        <v>638</v>
      </c>
      <c r="D247" s="363"/>
      <c r="E247" s="363"/>
      <c r="F247" s="363"/>
    </row>
    <row r="248" spans="1:6" ht="21.75" customHeight="1" x14ac:dyDescent="0.3">
      <c r="A248" s="364"/>
      <c r="B248" s="364"/>
      <c r="C248" s="363" t="s">
        <v>639</v>
      </c>
      <c r="D248" s="363"/>
      <c r="E248" s="363"/>
      <c r="F248" s="363"/>
    </row>
    <row r="249" spans="1:6" ht="21.75" customHeight="1" x14ac:dyDescent="0.3">
      <c r="A249" s="364"/>
      <c r="B249" s="364"/>
      <c r="C249" s="363" t="s">
        <v>629</v>
      </c>
      <c r="D249" s="363"/>
      <c r="E249" s="363"/>
      <c r="F249" s="363"/>
    </row>
    <row r="250" spans="1:6" ht="21.75" customHeight="1" x14ac:dyDescent="0.3">
      <c r="A250" s="364"/>
      <c r="B250" s="364"/>
      <c r="C250" s="363" t="s">
        <v>625</v>
      </c>
      <c r="D250" s="363"/>
      <c r="E250" s="363"/>
      <c r="F250" s="363"/>
    </row>
    <row r="251" spans="1:6" ht="37.5" customHeight="1" x14ac:dyDescent="0.3">
      <c r="A251" s="364"/>
      <c r="B251" s="364"/>
      <c r="C251" s="363" t="s">
        <v>626</v>
      </c>
      <c r="D251" s="363"/>
      <c r="E251" s="363"/>
      <c r="F251" s="363"/>
    </row>
    <row r="252" spans="1:6" ht="37.5" customHeight="1" x14ac:dyDescent="0.3">
      <c r="A252" s="364"/>
      <c r="B252" s="364"/>
      <c r="C252" s="363" t="s">
        <v>627</v>
      </c>
      <c r="D252" s="363"/>
      <c r="E252" s="363"/>
      <c r="F252" s="363"/>
    </row>
    <row r="253" spans="1:6" ht="37.5" customHeight="1" x14ac:dyDescent="0.3">
      <c r="A253" s="364"/>
      <c r="B253" s="364"/>
      <c r="C253" s="363" t="s">
        <v>628</v>
      </c>
      <c r="D253" s="363"/>
      <c r="E253" s="363"/>
      <c r="F253" s="363"/>
    </row>
    <row r="254" spans="1:6" ht="21.75" customHeight="1" x14ac:dyDescent="0.3">
      <c r="A254" s="364"/>
      <c r="B254" s="364"/>
      <c r="C254" s="363" t="s">
        <v>629</v>
      </c>
      <c r="D254" s="363"/>
      <c r="E254" s="363"/>
      <c r="F254" s="363"/>
    </row>
    <row r="255" spans="1:6" ht="21.75" customHeight="1" x14ac:dyDescent="0.3">
      <c r="A255" s="364">
        <v>6</v>
      </c>
      <c r="B255" s="365" t="s">
        <v>640</v>
      </c>
      <c r="C255" s="363" t="s">
        <v>621</v>
      </c>
      <c r="D255" s="363"/>
      <c r="E255" s="363"/>
      <c r="F255" s="363"/>
    </row>
    <row r="256" spans="1:6" ht="21.75" customHeight="1" x14ac:dyDescent="0.3">
      <c r="A256" s="364"/>
      <c r="B256" s="364"/>
      <c r="C256" s="363" t="s">
        <v>631</v>
      </c>
      <c r="D256" s="363"/>
      <c r="E256" s="363"/>
      <c r="F256" s="363"/>
    </row>
    <row r="257" spans="1:6" ht="21.75" customHeight="1" x14ac:dyDescent="0.3">
      <c r="A257" s="364"/>
      <c r="B257" s="364"/>
      <c r="C257" s="363" t="s">
        <v>622</v>
      </c>
      <c r="D257" s="363"/>
      <c r="E257" s="363"/>
      <c r="F257" s="363"/>
    </row>
    <row r="258" spans="1:6" ht="21.75" customHeight="1" x14ac:dyDescent="0.3">
      <c r="A258" s="364"/>
      <c r="B258" s="364"/>
      <c r="C258" s="363" t="s">
        <v>641</v>
      </c>
      <c r="D258" s="363"/>
      <c r="E258" s="363"/>
      <c r="F258" s="363"/>
    </row>
    <row r="259" spans="1:6" ht="21.75" customHeight="1" x14ac:dyDescent="0.3">
      <c r="A259" s="364"/>
      <c r="B259" s="364"/>
      <c r="C259" s="363" t="s">
        <v>642</v>
      </c>
      <c r="D259" s="363"/>
      <c r="E259" s="363"/>
      <c r="F259" s="363"/>
    </row>
    <row r="260" spans="1:6" ht="21.75" customHeight="1" x14ac:dyDescent="0.3">
      <c r="A260" s="364"/>
      <c r="B260" s="364"/>
      <c r="C260" s="363" t="s">
        <v>625</v>
      </c>
      <c r="D260" s="363"/>
      <c r="E260" s="363"/>
      <c r="F260" s="363"/>
    </row>
    <row r="261" spans="1:6" ht="37.5" customHeight="1" x14ac:dyDescent="0.3">
      <c r="A261" s="364"/>
      <c r="B261" s="364"/>
      <c r="C261" s="363" t="s">
        <v>626</v>
      </c>
      <c r="D261" s="363"/>
      <c r="E261" s="363"/>
      <c r="F261" s="363"/>
    </row>
    <row r="262" spans="1:6" ht="37.5" customHeight="1" x14ac:dyDescent="0.3">
      <c r="A262" s="364"/>
      <c r="B262" s="364"/>
      <c r="C262" s="363" t="s">
        <v>627</v>
      </c>
      <c r="D262" s="363"/>
      <c r="E262" s="363"/>
      <c r="F262" s="363"/>
    </row>
    <row r="263" spans="1:6" ht="37.5" customHeight="1" x14ac:dyDescent="0.3">
      <c r="A263" s="364"/>
      <c r="B263" s="364"/>
      <c r="C263" s="363" t="s">
        <v>628</v>
      </c>
      <c r="D263" s="363"/>
      <c r="E263" s="363"/>
      <c r="F263" s="363"/>
    </row>
    <row r="264" spans="1:6" ht="21.75" customHeight="1" x14ac:dyDescent="0.3">
      <c r="A264" s="364"/>
      <c r="B264" s="364"/>
      <c r="C264" s="363" t="s">
        <v>629</v>
      </c>
      <c r="D264" s="363"/>
      <c r="E264" s="363"/>
      <c r="F264" s="363"/>
    </row>
    <row r="265" spans="1:6" ht="21.75" customHeight="1" x14ac:dyDescent="0.3">
      <c r="A265" s="364"/>
      <c r="B265" s="364"/>
      <c r="C265" s="363" t="s">
        <v>642</v>
      </c>
      <c r="D265" s="363"/>
      <c r="E265" s="363"/>
      <c r="F265" s="363"/>
    </row>
    <row r="266" spans="1:6" ht="21.75" customHeight="1" x14ac:dyDescent="0.3">
      <c r="A266" s="267">
        <v>7</v>
      </c>
      <c r="B266" s="269" t="s">
        <v>643</v>
      </c>
      <c r="C266" s="363" t="s">
        <v>644</v>
      </c>
      <c r="D266" s="363"/>
      <c r="E266" s="363"/>
      <c r="F266" s="363"/>
    </row>
    <row r="267" spans="1:6" ht="54" customHeight="1" x14ac:dyDescent="0.3">
      <c r="A267" s="364">
        <v>8</v>
      </c>
      <c r="B267" s="365" t="s">
        <v>645</v>
      </c>
      <c r="C267" s="363" t="s">
        <v>646</v>
      </c>
      <c r="D267" s="363"/>
      <c r="E267" s="363"/>
      <c r="F267" s="363"/>
    </row>
    <row r="268" spans="1:6" ht="21.75" customHeight="1" x14ac:dyDescent="0.3">
      <c r="A268" s="364"/>
      <c r="B268" s="364"/>
      <c r="C268" s="363" t="s">
        <v>621</v>
      </c>
      <c r="D268" s="363"/>
      <c r="E268" s="363"/>
      <c r="F268" s="363"/>
    </row>
    <row r="269" spans="1:6" ht="21.75" customHeight="1" x14ac:dyDescent="0.3">
      <c r="A269" s="364"/>
      <c r="B269" s="364"/>
      <c r="C269" s="363" t="s">
        <v>631</v>
      </c>
      <c r="D269" s="363"/>
      <c r="E269" s="363"/>
      <c r="F269" s="363"/>
    </row>
    <row r="270" spans="1:6" ht="21.75" customHeight="1" x14ac:dyDescent="0.3">
      <c r="A270" s="364"/>
      <c r="B270" s="364"/>
      <c r="C270" s="363" t="s">
        <v>622</v>
      </c>
      <c r="D270" s="363"/>
      <c r="E270" s="363"/>
      <c r="F270" s="363"/>
    </row>
    <row r="271" spans="1:6" ht="21.75" customHeight="1" x14ac:dyDescent="0.3">
      <c r="A271" s="364"/>
      <c r="B271" s="364"/>
      <c r="C271" s="363" t="s">
        <v>632</v>
      </c>
      <c r="D271" s="363"/>
      <c r="E271" s="363"/>
      <c r="F271" s="363"/>
    </row>
    <row r="272" spans="1:6" ht="21.75" customHeight="1" x14ac:dyDescent="0.3">
      <c r="A272" s="364"/>
      <c r="B272" s="364"/>
      <c r="C272" s="363" t="s">
        <v>625</v>
      </c>
      <c r="D272" s="363"/>
      <c r="E272" s="363"/>
      <c r="F272" s="363"/>
    </row>
    <row r="273" spans="1:6" ht="37.5" customHeight="1" x14ac:dyDescent="0.3">
      <c r="A273" s="364"/>
      <c r="B273" s="364"/>
      <c r="C273" s="363" t="s">
        <v>626</v>
      </c>
      <c r="D273" s="363"/>
      <c r="E273" s="363"/>
      <c r="F273" s="363"/>
    </row>
    <row r="274" spans="1:6" ht="21.75" customHeight="1" x14ac:dyDescent="0.3">
      <c r="A274" s="364"/>
      <c r="B274" s="364"/>
      <c r="C274" s="363" t="s">
        <v>633</v>
      </c>
      <c r="D274" s="363"/>
      <c r="E274" s="363"/>
      <c r="F274" s="363"/>
    </row>
    <row r="275" spans="1:6" ht="37.5" customHeight="1" x14ac:dyDescent="0.3">
      <c r="A275" s="364"/>
      <c r="B275" s="364"/>
      <c r="C275" s="363" t="s">
        <v>628</v>
      </c>
      <c r="D275" s="363"/>
      <c r="E275" s="363"/>
      <c r="F275" s="363"/>
    </row>
    <row r="276" spans="1:6" ht="21.75" customHeight="1" x14ac:dyDescent="0.3">
      <c r="A276" s="364"/>
      <c r="B276" s="364"/>
      <c r="C276" s="363" t="s">
        <v>629</v>
      </c>
      <c r="D276" s="363"/>
      <c r="E276" s="363"/>
      <c r="F276" s="363"/>
    </row>
    <row r="277" spans="1:6" ht="37.5" customHeight="1" x14ac:dyDescent="0.3">
      <c r="A277" s="364">
        <v>9</v>
      </c>
      <c r="B277" s="365" t="s">
        <v>647</v>
      </c>
      <c r="C277" s="363" t="s">
        <v>648</v>
      </c>
      <c r="D277" s="363"/>
      <c r="E277" s="363"/>
      <c r="F277" s="363"/>
    </row>
    <row r="278" spans="1:6" ht="21.75" customHeight="1" x14ac:dyDescent="0.3">
      <c r="A278" s="364"/>
      <c r="B278" s="364"/>
      <c r="C278" s="363" t="s">
        <v>649</v>
      </c>
      <c r="D278" s="363"/>
      <c r="E278" s="363"/>
      <c r="F278" s="363"/>
    </row>
    <row r="279" spans="1:6" ht="21.75" customHeight="1" x14ac:dyDescent="0.3">
      <c r="A279" s="364"/>
      <c r="B279" s="364"/>
      <c r="C279" s="363" t="s">
        <v>650</v>
      </c>
      <c r="D279" s="363"/>
      <c r="E279" s="363"/>
      <c r="F279" s="363"/>
    </row>
    <row r="280" spans="1:6" ht="21.75" customHeight="1" x14ac:dyDescent="0.3">
      <c r="A280" s="364"/>
      <c r="B280" s="364"/>
      <c r="C280" s="363" t="s">
        <v>651</v>
      </c>
      <c r="D280" s="363"/>
      <c r="E280" s="363"/>
      <c r="F280" s="363"/>
    </row>
    <row r="281" spans="1:6" ht="21.75" customHeight="1" x14ac:dyDescent="0.3">
      <c r="A281" s="364"/>
      <c r="B281" s="364"/>
      <c r="C281" s="363" t="s">
        <v>652</v>
      </c>
      <c r="D281" s="363"/>
      <c r="E281" s="363"/>
      <c r="F281" s="363"/>
    </row>
    <row r="282" spans="1:6" ht="37.5" customHeight="1" x14ac:dyDescent="0.3">
      <c r="A282" s="364">
        <v>10</v>
      </c>
      <c r="B282" s="365" t="s">
        <v>653</v>
      </c>
      <c r="C282" s="363" t="s">
        <v>654</v>
      </c>
      <c r="D282" s="363"/>
      <c r="E282" s="363"/>
      <c r="F282" s="363"/>
    </row>
    <row r="283" spans="1:6" ht="21.75" customHeight="1" x14ac:dyDescent="0.3">
      <c r="A283" s="364"/>
      <c r="B283" s="364"/>
      <c r="C283" s="363" t="s">
        <v>655</v>
      </c>
      <c r="D283" s="363"/>
      <c r="E283" s="363"/>
      <c r="F283" s="363"/>
    </row>
    <row r="284" spans="1:6" ht="37.5" customHeight="1" x14ac:dyDescent="0.3">
      <c r="A284" s="364"/>
      <c r="B284" s="364"/>
      <c r="C284" s="363" t="s">
        <v>656</v>
      </c>
      <c r="D284" s="363"/>
      <c r="E284" s="363"/>
      <c r="F284" s="363"/>
    </row>
    <row r="285" spans="1:6" ht="21.75" customHeight="1" x14ac:dyDescent="0.3">
      <c r="A285" s="364"/>
      <c r="B285" s="364"/>
      <c r="C285" s="363" t="s">
        <v>657</v>
      </c>
      <c r="D285" s="363"/>
      <c r="E285" s="363"/>
      <c r="F285" s="363"/>
    </row>
    <row r="286" spans="1:6" ht="54" customHeight="1" x14ac:dyDescent="0.3">
      <c r="A286" s="355" t="s">
        <v>658</v>
      </c>
      <c r="B286" s="355"/>
      <c r="C286" s="355"/>
      <c r="D286" s="355"/>
      <c r="E286" s="355"/>
      <c r="F286" s="355"/>
    </row>
    <row r="287" spans="1:6" ht="54" customHeight="1" x14ac:dyDescent="0.3">
      <c r="A287" s="355" t="s">
        <v>659</v>
      </c>
      <c r="B287" s="355"/>
      <c r="C287" s="355"/>
      <c r="D287" s="355"/>
      <c r="E287" s="355"/>
      <c r="F287" s="355"/>
    </row>
    <row r="288" spans="1:6" ht="37.5" customHeight="1" x14ac:dyDescent="0.3">
      <c r="A288" s="355" t="s">
        <v>660</v>
      </c>
      <c r="B288" s="355"/>
      <c r="C288" s="355"/>
      <c r="D288" s="355"/>
      <c r="E288" s="355"/>
      <c r="F288" s="355"/>
    </row>
    <row r="289" spans="1:6" ht="37.5" customHeight="1" x14ac:dyDescent="0.3">
      <c r="A289" s="355" t="s">
        <v>661</v>
      </c>
      <c r="B289" s="355"/>
      <c r="C289" s="355"/>
      <c r="D289" s="355"/>
      <c r="E289" s="355"/>
      <c r="F289" s="355"/>
    </row>
    <row r="290" spans="1:6" ht="37.5" customHeight="1" x14ac:dyDescent="0.3">
      <c r="A290" s="355" t="s">
        <v>662</v>
      </c>
      <c r="B290" s="355"/>
      <c r="C290" s="355"/>
      <c r="D290" s="355"/>
      <c r="E290" s="355"/>
      <c r="F290" s="355"/>
    </row>
    <row r="291" spans="1:6" ht="54" customHeight="1" x14ac:dyDescent="0.3">
      <c r="A291" s="355" t="s">
        <v>663</v>
      </c>
      <c r="B291" s="355"/>
      <c r="C291" s="355"/>
      <c r="D291" s="355"/>
      <c r="E291" s="355"/>
      <c r="F291" s="355"/>
    </row>
    <row r="292" spans="1:6" ht="37.5" customHeight="1" x14ac:dyDescent="0.3">
      <c r="A292" s="355" t="s">
        <v>664</v>
      </c>
      <c r="B292" s="355"/>
      <c r="C292" s="355"/>
      <c r="D292" s="355"/>
      <c r="E292" s="355"/>
      <c r="F292" s="355"/>
    </row>
    <row r="293" spans="1:6" ht="37.5" customHeight="1" x14ac:dyDescent="0.3">
      <c r="A293" s="355" t="s">
        <v>665</v>
      </c>
      <c r="B293" s="355"/>
      <c r="C293" s="355"/>
      <c r="D293" s="355"/>
      <c r="E293" s="355"/>
      <c r="F293" s="355"/>
    </row>
    <row r="294" spans="1:6" ht="37.5" customHeight="1" x14ac:dyDescent="0.3">
      <c r="A294" s="355" t="s">
        <v>666</v>
      </c>
      <c r="B294" s="355"/>
      <c r="C294" s="355"/>
      <c r="D294" s="355"/>
      <c r="E294" s="355"/>
      <c r="F294" s="355"/>
    </row>
    <row r="295" spans="1:6" ht="21.75" customHeight="1" x14ac:dyDescent="0.3">
      <c r="A295" s="356" t="s">
        <v>462</v>
      </c>
      <c r="B295" s="356"/>
      <c r="C295" s="356"/>
      <c r="D295" s="356"/>
      <c r="E295" s="356"/>
      <c r="F295" s="356"/>
    </row>
    <row r="296" spans="1:6" ht="37.5" customHeight="1" x14ac:dyDescent="0.3">
      <c r="A296" s="355" t="s">
        <v>667</v>
      </c>
      <c r="B296" s="355"/>
      <c r="C296" s="355"/>
      <c r="D296" s="355"/>
      <c r="E296" s="355"/>
      <c r="F296" s="355"/>
    </row>
    <row r="297" spans="1:6" ht="37.5" customHeight="1" x14ac:dyDescent="0.3">
      <c r="A297" s="355" t="s">
        <v>668</v>
      </c>
      <c r="B297" s="355"/>
      <c r="C297" s="355"/>
      <c r="D297" s="355"/>
      <c r="E297" s="355"/>
      <c r="F297" s="355"/>
    </row>
    <row r="298" spans="1:6" ht="37.5" customHeight="1" x14ac:dyDescent="0.3">
      <c r="A298" s="355" t="s">
        <v>669</v>
      </c>
      <c r="B298" s="355"/>
      <c r="C298" s="355"/>
      <c r="D298" s="355"/>
      <c r="E298" s="355"/>
      <c r="F298" s="355"/>
    </row>
    <row r="299" spans="1:6" ht="37.5" customHeight="1" x14ac:dyDescent="0.3">
      <c r="A299" s="355" t="s">
        <v>670</v>
      </c>
      <c r="B299" s="355"/>
      <c r="C299" s="355"/>
      <c r="D299" s="355"/>
      <c r="E299" s="355"/>
      <c r="F299" s="355"/>
    </row>
    <row r="300" spans="1:6" ht="21.75" customHeight="1" x14ac:dyDescent="0.3">
      <c r="A300" s="355" t="s">
        <v>671</v>
      </c>
      <c r="B300" s="355"/>
      <c r="C300" s="355"/>
      <c r="D300" s="355"/>
      <c r="E300" s="355"/>
      <c r="F300" s="355"/>
    </row>
    <row r="301" spans="1:6" ht="21.75" customHeight="1" x14ac:dyDescent="0.3">
      <c r="A301" s="355" t="s">
        <v>672</v>
      </c>
      <c r="B301" s="355"/>
      <c r="C301" s="355"/>
      <c r="D301" s="355"/>
      <c r="E301" s="355"/>
      <c r="F301" s="355"/>
    </row>
    <row r="302" spans="1:6" ht="21.75" customHeight="1" x14ac:dyDescent="0.3">
      <c r="A302" s="356" t="s">
        <v>464</v>
      </c>
      <c r="B302" s="356"/>
      <c r="C302" s="356"/>
      <c r="D302" s="356"/>
      <c r="E302" s="356"/>
      <c r="F302" s="356"/>
    </row>
    <row r="303" spans="1:6" ht="21.75" customHeight="1" x14ac:dyDescent="0.3">
      <c r="A303" s="355" t="s">
        <v>673</v>
      </c>
      <c r="B303" s="355"/>
      <c r="C303" s="355"/>
      <c r="D303" s="355"/>
      <c r="E303" s="355"/>
      <c r="F303" s="355"/>
    </row>
    <row r="304" spans="1:6" ht="117.75" customHeight="1" x14ac:dyDescent="0.3">
      <c r="A304" s="355" t="s">
        <v>674</v>
      </c>
      <c r="B304" s="355"/>
      <c r="C304" s="355"/>
      <c r="D304" s="355"/>
      <c r="E304" s="355"/>
      <c r="F304" s="355"/>
    </row>
    <row r="305" spans="1:6" ht="69.75" customHeight="1" x14ac:dyDescent="0.3">
      <c r="A305" s="355" t="s">
        <v>675</v>
      </c>
      <c r="B305" s="355"/>
      <c r="C305" s="355"/>
      <c r="D305" s="355"/>
      <c r="E305" s="355"/>
      <c r="F305" s="355"/>
    </row>
    <row r="306" spans="1:6" ht="102" customHeight="1" x14ac:dyDescent="0.3">
      <c r="A306" s="355" t="s">
        <v>676</v>
      </c>
      <c r="B306" s="355"/>
      <c r="C306" s="355"/>
      <c r="D306" s="355"/>
      <c r="E306" s="355"/>
      <c r="F306" s="355"/>
    </row>
    <row r="307" spans="1:6" ht="37.5" customHeight="1" x14ac:dyDescent="0.3">
      <c r="A307" s="355" t="s">
        <v>677</v>
      </c>
      <c r="B307" s="355"/>
      <c r="C307" s="355"/>
      <c r="D307" s="355"/>
      <c r="E307" s="355"/>
      <c r="F307" s="355"/>
    </row>
    <row r="308" spans="1:6" ht="21.75" customHeight="1" x14ac:dyDescent="0.3">
      <c r="A308" s="355" t="s">
        <v>678</v>
      </c>
      <c r="B308" s="355"/>
      <c r="C308" s="355"/>
      <c r="D308" s="355"/>
      <c r="E308" s="355"/>
      <c r="F308" s="355"/>
    </row>
    <row r="309" spans="1:6" ht="54" customHeight="1" x14ac:dyDescent="0.3">
      <c r="A309" s="355" t="s">
        <v>679</v>
      </c>
      <c r="B309" s="355"/>
      <c r="C309" s="355"/>
      <c r="D309" s="355"/>
      <c r="E309" s="355"/>
      <c r="F309" s="355"/>
    </row>
    <row r="310" spans="1:6" ht="54" customHeight="1" x14ac:dyDescent="0.3">
      <c r="A310" s="355" t="s">
        <v>680</v>
      </c>
      <c r="B310" s="355"/>
      <c r="C310" s="355"/>
      <c r="D310" s="355"/>
      <c r="E310" s="355"/>
      <c r="F310" s="355"/>
    </row>
    <row r="311" spans="1:6" ht="21.75" customHeight="1" x14ac:dyDescent="0.3">
      <c r="A311" s="356" t="s">
        <v>465</v>
      </c>
      <c r="B311" s="356"/>
      <c r="C311" s="356"/>
      <c r="D311" s="356"/>
      <c r="E311" s="356"/>
      <c r="F311" s="356"/>
    </row>
    <row r="312" spans="1:6" ht="37.5" customHeight="1" x14ac:dyDescent="0.3">
      <c r="A312" s="355" t="s">
        <v>681</v>
      </c>
      <c r="B312" s="355"/>
      <c r="C312" s="355"/>
      <c r="D312" s="355"/>
      <c r="E312" s="355"/>
      <c r="F312" s="355"/>
    </row>
    <row r="313" spans="1:6" ht="85.5" customHeight="1" x14ac:dyDescent="0.3">
      <c r="A313" s="355" t="s">
        <v>682</v>
      </c>
      <c r="B313" s="355"/>
      <c r="C313" s="355"/>
      <c r="D313" s="355"/>
      <c r="E313" s="355"/>
      <c r="F313" s="355"/>
    </row>
    <row r="314" spans="1:6" ht="54" customHeight="1" x14ac:dyDescent="0.3">
      <c r="A314" s="355" t="s">
        <v>683</v>
      </c>
      <c r="B314" s="355"/>
      <c r="C314" s="355"/>
      <c r="D314" s="355"/>
      <c r="E314" s="355"/>
      <c r="F314" s="355"/>
    </row>
    <row r="315" spans="1:6" ht="54" customHeight="1" x14ac:dyDescent="0.3">
      <c r="A315" s="355" t="s">
        <v>684</v>
      </c>
      <c r="B315" s="355"/>
      <c r="C315" s="355"/>
      <c r="D315" s="355"/>
      <c r="E315" s="355"/>
      <c r="F315" s="355"/>
    </row>
    <row r="316" spans="1:6" ht="85.5" customHeight="1" x14ac:dyDescent="0.3">
      <c r="A316" s="355" t="s">
        <v>685</v>
      </c>
      <c r="B316" s="355"/>
      <c r="C316" s="355"/>
      <c r="D316" s="355"/>
      <c r="E316" s="355"/>
      <c r="F316" s="355"/>
    </row>
    <row r="317" spans="1:6" ht="69.75" customHeight="1" x14ac:dyDescent="0.3">
      <c r="A317" s="355" t="s">
        <v>686</v>
      </c>
      <c r="B317" s="355"/>
      <c r="C317" s="355"/>
      <c r="D317" s="355"/>
      <c r="E317" s="355"/>
      <c r="F317" s="355"/>
    </row>
    <row r="318" spans="1:6" ht="37.5" customHeight="1" x14ac:dyDescent="0.3">
      <c r="A318" s="355" t="s">
        <v>687</v>
      </c>
      <c r="B318" s="355"/>
      <c r="C318" s="355"/>
      <c r="D318" s="355"/>
      <c r="E318" s="355"/>
      <c r="F318" s="355"/>
    </row>
    <row r="319" spans="1:6" ht="54" customHeight="1" x14ac:dyDescent="0.3">
      <c r="A319" s="355" t="s">
        <v>688</v>
      </c>
      <c r="B319" s="355"/>
      <c r="C319" s="355"/>
      <c r="D319" s="355"/>
      <c r="E319" s="355"/>
      <c r="F319" s="355"/>
    </row>
    <row r="320" spans="1:6" ht="37.5" customHeight="1" x14ac:dyDescent="0.3">
      <c r="A320" s="355" t="s">
        <v>689</v>
      </c>
      <c r="B320" s="355"/>
      <c r="C320" s="355"/>
      <c r="D320" s="355"/>
      <c r="E320" s="355"/>
      <c r="F320" s="355"/>
    </row>
    <row r="321" spans="1:6" ht="21.75" customHeight="1" x14ac:dyDescent="0.3">
      <c r="A321" s="355" t="s">
        <v>690</v>
      </c>
      <c r="B321" s="355"/>
      <c r="C321" s="355"/>
      <c r="D321" s="355"/>
      <c r="E321" s="355"/>
      <c r="F321" s="355"/>
    </row>
    <row r="322" spans="1:6" ht="21.75" customHeight="1" x14ac:dyDescent="0.3">
      <c r="A322" s="355" t="s">
        <v>691</v>
      </c>
      <c r="B322" s="355"/>
      <c r="C322" s="355"/>
      <c r="D322" s="355"/>
      <c r="E322" s="355"/>
      <c r="F322" s="355"/>
    </row>
    <row r="323" spans="1:6" ht="54" customHeight="1" x14ac:dyDescent="0.3">
      <c r="A323" s="355" t="s">
        <v>692</v>
      </c>
      <c r="B323" s="355"/>
      <c r="C323" s="355"/>
      <c r="D323" s="355"/>
      <c r="E323" s="355"/>
      <c r="F323" s="355"/>
    </row>
    <row r="324" spans="1:6" ht="54" customHeight="1" x14ac:dyDescent="0.3">
      <c r="A324" s="355" t="s">
        <v>693</v>
      </c>
      <c r="B324" s="355"/>
      <c r="C324" s="355"/>
      <c r="D324" s="355"/>
      <c r="E324" s="355"/>
      <c r="F324" s="355"/>
    </row>
    <row r="325" spans="1:6" ht="37.5" customHeight="1" x14ac:dyDescent="0.3">
      <c r="A325" s="355" t="s">
        <v>694</v>
      </c>
      <c r="B325" s="355"/>
      <c r="C325" s="355"/>
      <c r="D325" s="355"/>
      <c r="E325" s="355"/>
      <c r="F325" s="355"/>
    </row>
    <row r="326" spans="1:6" ht="37.5" customHeight="1" x14ac:dyDescent="0.3">
      <c r="A326" s="355" t="s">
        <v>695</v>
      </c>
      <c r="B326" s="355"/>
      <c r="C326" s="355"/>
      <c r="D326" s="355"/>
      <c r="E326" s="355"/>
      <c r="F326" s="355"/>
    </row>
    <row r="327" spans="1:6" ht="21.75" customHeight="1" x14ac:dyDescent="0.3">
      <c r="A327" s="356" t="s">
        <v>466</v>
      </c>
      <c r="B327" s="356"/>
      <c r="C327" s="356"/>
      <c r="D327" s="356"/>
      <c r="E327" s="356"/>
      <c r="F327" s="356"/>
    </row>
    <row r="328" spans="1:6" ht="21.75" customHeight="1" x14ac:dyDescent="0.3">
      <c r="A328" s="355" t="s">
        <v>696</v>
      </c>
      <c r="B328" s="355"/>
      <c r="C328" s="355"/>
      <c r="D328" s="355"/>
      <c r="E328" s="355"/>
      <c r="F328" s="355"/>
    </row>
    <row r="329" spans="1:6" ht="21.75" customHeight="1" x14ac:dyDescent="0.3">
      <c r="A329" s="355" t="s">
        <v>697</v>
      </c>
      <c r="B329" s="355"/>
      <c r="C329" s="355"/>
      <c r="D329" s="355"/>
      <c r="E329" s="355"/>
      <c r="F329" s="355"/>
    </row>
    <row r="330" spans="1:6" ht="37.5" customHeight="1" x14ac:dyDescent="0.3">
      <c r="A330" s="355" t="s">
        <v>698</v>
      </c>
      <c r="B330" s="355"/>
      <c r="C330" s="355"/>
      <c r="D330" s="355"/>
      <c r="E330" s="355"/>
      <c r="F330" s="355"/>
    </row>
    <row r="331" spans="1:6" ht="37.5" customHeight="1" x14ac:dyDescent="0.3">
      <c r="A331" s="355" t="s">
        <v>699</v>
      </c>
      <c r="B331" s="355"/>
      <c r="C331" s="355"/>
      <c r="D331" s="355"/>
      <c r="E331" s="355"/>
      <c r="F331" s="355"/>
    </row>
    <row r="332" spans="1:6" ht="21.75" customHeight="1" x14ac:dyDescent="0.3">
      <c r="A332" s="355" t="s">
        <v>700</v>
      </c>
      <c r="B332" s="355"/>
      <c r="C332" s="355"/>
      <c r="D332" s="355"/>
      <c r="E332" s="355"/>
      <c r="F332" s="355"/>
    </row>
    <row r="333" spans="1:6" ht="181.5" customHeight="1" x14ac:dyDescent="0.3">
      <c r="A333" s="355" t="s">
        <v>701</v>
      </c>
      <c r="B333" s="355"/>
      <c r="C333" s="355"/>
      <c r="D333" s="355"/>
      <c r="E333" s="355"/>
      <c r="F333" s="355"/>
    </row>
    <row r="334" spans="1:6" ht="21.75" customHeight="1" x14ac:dyDescent="0.3">
      <c r="A334" s="355" t="s">
        <v>702</v>
      </c>
      <c r="B334" s="355"/>
      <c r="C334" s="355"/>
      <c r="D334" s="355"/>
      <c r="E334" s="355"/>
      <c r="F334" s="355"/>
    </row>
    <row r="335" spans="1:6" ht="85.5" customHeight="1" x14ac:dyDescent="0.3">
      <c r="A335" s="355" t="s">
        <v>703</v>
      </c>
      <c r="B335" s="355"/>
      <c r="C335" s="355"/>
      <c r="D335" s="355"/>
      <c r="E335" s="355"/>
      <c r="F335" s="355"/>
    </row>
    <row r="336" spans="1:6" ht="54" customHeight="1" x14ac:dyDescent="0.3">
      <c r="A336" s="355" t="s">
        <v>704</v>
      </c>
      <c r="B336" s="355"/>
      <c r="C336" s="355"/>
      <c r="D336" s="355"/>
      <c r="E336" s="355"/>
      <c r="F336" s="355"/>
    </row>
    <row r="337" spans="1:6" ht="85.5" customHeight="1" x14ac:dyDescent="0.3">
      <c r="A337" s="355" t="s">
        <v>705</v>
      </c>
      <c r="B337" s="355"/>
      <c r="C337" s="355"/>
      <c r="D337" s="355"/>
      <c r="E337" s="355"/>
      <c r="F337" s="355"/>
    </row>
    <row r="338" spans="1:6" ht="54" customHeight="1" x14ac:dyDescent="0.3">
      <c r="A338" s="355" t="s">
        <v>706</v>
      </c>
      <c r="B338" s="355"/>
      <c r="C338" s="355"/>
      <c r="D338" s="355"/>
      <c r="E338" s="355"/>
      <c r="F338" s="355"/>
    </row>
    <row r="339" spans="1:6" ht="54" customHeight="1" x14ac:dyDescent="0.3">
      <c r="A339" s="355" t="s">
        <v>707</v>
      </c>
      <c r="B339" s="355"/>
      <c r="C339" s="355"/>
      <c r="D339" s="355"/>
      <c r="E339" s="355"/>
      <c r="F339" s="355"/>
    </row>
    <row r="341" spans="1:6" ht="21.75" customHeight="1" x14ac:dyDescent="0.3">
      <c r="A341" s="355" t="s">
        <v>708</v>
      </c>
      <c r="B341" s="355"/>
      <c r="C341" s="355"/>
      <c r="D341" s="355"/>
      <c r="E341" s="355"/>
      <c r="F341" s="355"/>
    </row>
    <row r="342" spans="1:6" ht="21.75" customHeight="1" x14ac:dyDescent="0.3">
      <c r="A342" s="355" t="s">
        <v>709</v>
      </c>
      <c r="B342" s="355"/>
      <c r="C342" s="355"/>
      <c r="D342" s="355"/>
      <c r="E342" s="355"/>
      <c r="F342" s="355"/>
    </row>
    <row r="343" spans="1:6" ht="21.75" customHeight="1" x14ac:dyDescent="0.3">
      <c r="A343" s="356" t="s">
        <v>468</v>
      </c>
      <c r="B343" s="356"/>
      <c r="C343" s="356"/>
      <c r="D343" s="356"/>
      <c r="E343" s="356"/>
      <c r="F343" s="356"/>
    </row>
    <row r="344" spans="1:6" ht="37.5" customHeight="1" x14ac:dyDescent="0.3">
      <c r="A344" s="355" t="s">
        <v>710</v>
      </c>
      <c r="B344" s="355"/>
      <c r="C344" s="355"/>
      <c r="D344" s="355"/>
      <c r="E344" s="355"/>
      <c r="F344" s="355"/>
    </row>
    <row r="345" spans="1:6" ht="85.5" customHeight="1" x14ac:dyDescent="0.3">
      <c r="A345" s="355" t="s">
        <v>711</v>
      </c>
      <c r="B345" s="355"/>
      <c r="C345" s="355"/>
      <c r="D345" s="355"/>
      <c r="E345" s="355"/>
      <c r="F345" s="355"/>
    </row>
    <row r="346" spans="1:6" ht="85.5" customHeight="1" x14ac:dyDescent="0.3">
      <c r="A346" s="355" t="s">
        <v>712</v>
      </c>
      <c r="B346" s="355"/>
      <c r="C346" s="355"/>
      <c r="D346" s="355"/>
      <c r="E346" s="355"/>
      <c r="F346" s="355"/>
    </row>
    <row r="347" spans="1:6" ht="85.5" customHeight="1" x14ac:dyDescent="0.3">
      <c r="A347" s="355" t="s">
        <v>713</v>
      </c>
      <c r="B347" s="355"/>
      <c r="C347" s="355"/>
      <c r="D347" s="355"/>
      <c r="E347" s="355"/>
      <c r="F347" s="355"/>
    </row>
    <row r="348" spans="1:6" ht="133.5" customHeight="1" x14ac:dyDescent="0.3">
      <c r="A348" s="355" t="s">
        <v>714</v>
      </c>
      <c r="B348" s="355"/>
      <c r="C348" s="355"/>
      <c r="D348" s="355"/>
      <c r="E348" s="355"/>
      <c r="F348" s="355"/>
    </row>
    <row r="349" spans="1:6" ht="37.5" customHeight="1" x14ac:dyDescent="0.3">
      <c r="A349" s="356" t="s">
        <v>469</v>
      </c>
      <c r="B349" s="356"/>
      <c r="C349" s="356"/>
      <c r="D349" s="356"/>
      <c r="E349" s="356"/>
      <c r="F349" s="356"/>
    </row>
    <row r="350" spans="1:6" ht="102" customHeight="1" x14ac:dyDescent="0.3">
      <c r="A350" s="355" t="s">
        <v>715</v>
      </c>
      <c r="B350" s="355"/>
      <c r="C350" s="355"/>
      <c r="D350" s="355"/>
      <c r="E350" s="355"/>
      <c r="F350" s="355"/>
    </row>
    <row r="351" spans="1:6" ht="117.75" customHeight="1" x14ac:dyDescent="0.3">
      <c r="A351" s="355" t="s">
        <v>716</v>
      </c>
      <c r="B351" s="355"/>
      <c r="C351" s="355"/>
      <c r="D351" s="355"/>
      <c r="E351" s="355"/>
      <c r="F351" s="355"/>
    </row>
    <row r="352" spans="1:6" ht="69.75" customHeight="1" x14ac:dyDescent="0.3">
      <c r="A352" s="355" t="s">
        <v>717</v>
      </c>
      <c r="B352" s="355"/>
      <c r="C352" s="355"/>
      <c r="D352" s="355"/>
      <c r="E352" s="355"/>
      <c r="F352" s="355"/>
    </row>
    <row r="353" spans="1:6" ht="37.5" customHeight="1" x14ac:dyDescent="0.3">
      <c r="A353" s="355" t="s">
        <v>718</v>
      </c>
      <c r="B353" s="355"/>
      <c r="C353" s="355"/>
      <c r="D353" s="355"/>
      <c r="E353" s="355"/>
      <c r="F353" s="355"/>
    </row>
    <row r="354" spans="1:6" ht="69.75" customHeight="1" x14ac:dyDescent="0.3">
      <c r="A354" s="355" t="s">
        <v>719</v>
      </c>
      <c r="B354" s="355"/>
      <c r="C354" s="355"/>
      <c r="D354" s="355"/>
      <c r="E354" s="355"/>
      <c r="F354" s="355"/>
    </row>
    <row r="355" spans="1:6" ht="54" customHeight="1" x14ac:dyDescent="0.3">
      <c r="A355" s="355" t="s">
        <v>720</v>
      </c>
      <c r="B355" s="355"/>
      <c r="C355" s="355"/>
      <c r="D355" s="355"/>
      <c r="E355" s="355"/>
      <c r="F355" s="355"/>
    </row>
    <row r="356" spans="1:6" ht="21.75" customHeight="1" x14ac:dyDescent="0.3">
      <c r="A356" s="355" t="s">
        <v>721</v>
      </c>
      <c r="B356" s="355"/>
      <c r="C356" s="355"/>
      <c r="D356" s="355"/>
      <c r="E356" s="355"/>
      <c r="F356" s="355"/>
    </row>
    <row r="357" spans="1:6" ht="21.75" customHeight="1" x14ac:dyDescent="0.3">
      <c r="A357" s="355" t="s">
        <v>722</v>
      </c>
      <c r="B357" s="355"/>
      <c r="C357" s="355"/>
      <c r="D357" s="355"/>
      <c r="E357" s="355"/>
      <c r="F357" s="355"/>
    </row>
    <row r="358" spans="1:6" ht="54" customHeight="1" x14ac:dyDescent="0.3">
      <c r="A358" s="355" t="s">
        <v>723</v>
      </c>
      <c r="B358" s="355"/>
      <c r="C358" s="355"/>
      <c r="D358" s="355"/>
      <c r="E358" s="355"/>
      <c r="F358" s="355"/>
    </row>
    <row r="359" spans="1:6" ht="37.5" customHeight="1" x14ac:dyDescent="0.3">
      <c r="A359" s="355" t="s">
        <v>724</v>
      </c>
      <c r="B359" s="355"/>
      <c r="C359" s="355"/>
      <c r="D359" s="355"/>
      <c r="E359" s="355"/>
      <c r="F359" s="355"/>
    </row>
    <row r="360" spans="1:6" ht="37.5" customHeight="1" x14ac:dyDescent="0.3">
      <c r="A360" s="355" t="s">
        <v>725</v>
      </c>
      <c r="B360" s="355"/>
      <c r="C360" s="355"/>
      <c r="D360" s="355"/>
      <c r="E360" s="355"/>
      <c r="F360" s="355"/>
    </row>
    <row r="361" spans="1:6" ht="102" customHeight="1" x14ac:dyDescent="0.3">
      <c r="A361" s="355" t="s">
        <v>726</v>
      </c>
      <c r="B361" s="355"/>
      <c r="C361" s="355"/>
      <c r="D361" s="355"/>
      <c r="E361" s="355"/>
      <c r="F361" s="355"/>
    </row>
    <row r="363" spans="1:6" ht="21.75" customHeight="1" x14ac:dyDescent="0.3">
      <c r="A363" s="355" t="s">
        <v>727</v>
      </c>
      <c r="B363" s="355"/>
      <c r="C363" s="355"/>
      <c r="D363" s="355"/>
      <c r="E363" s="355"/>
      <c r="F363" s="355"/>
    </row>
    <row r="364" spans="1:6" ht="21.75" customHeight="1" x14ac:dyDescent="0.3">
      <c r="A364" s="355" t="s">
        <v>728</v>
      </c>
      <c r="B364" s="355"/>
      <c r="C364" s="355"/>
      <c r="D364" s="355"/>
      <c r="E364" s="355"/>
      <c r="F364" s="355"/>
    </row>
    <row r="365" spans="1:6" ht="21.75" customHeight="1" x14ac:dyDescent="0.3">
      <c r="A365" s="356" t="s">
        <v>729</v>
      </c>
      <c r="B365" s="356"/>
      <c r="C365" s="356"/>
      <c r="D365" s="356"/>
      <c r="E365" s="356"/>
      <c r="F365" s="356"/>
    </row>
    <row r="366" spans="1:6" ht="21.75" customHeight="1" x14ac:dyDescent="0.3">
      <c r="A366" s="355" t="s">
        <v>730</v>
      </c>
      <c r="B366" s="355"/>
      <c r="C366" s="355"/>
      <c r="D366" s="355"/>
      <c r="E366" s="355"/>
      <c r="F366" s="355"/>
    </row>
    <row r="367" spans="1:6" ht="54" customHeight="1" x14ac:dyDescent="0.3">
      <c r="A367" s="355" t="s">
        <v>731</v>
      </c>
      <c r="B367" s="355"/>
      <c r="C367" s="355"/>
      <c r="D367" s="355"/>
      <c r="E367" s="355"/>
      <c r="F367" s="355"/>
    </row>
    <row r="368" spans="1:6" ht="21.75" customHeight="1" x14ac:dyDescent="0.3">
      <c r="A368" s="355" t="s">
        <v>732</v>
      </c>
      <c r="B368" s="355"/>
      <c r="C368" s="355"/>
      <c r="D368" s="355"/>
      <c r="E368" s="355"/>
      <c r="F368" s="355"/>
    </row>
    <row r="369" spans="1:6" ht="37.5" customHeight="1" x14ac:dyDescent="0.3">
      <c r="A369" s="355" t="s">
        <v>733</v>
      </c>
      <c r="B369" s="355"/>
      <c r="C369" s="355"/>
      <c r="D369" s="355"/>
      <c r="E369" s="355"/>
      <c r="F369" s="355"/>
    </row>
    <row r="370" spans="1:6" ht="21.75" customHeight="1" x14ac:dyDescent="0.3">
      <c r="A370" s="355" t="s">
        <v>734</v>
      </c>
      <c r="B370" s="355"/>
      <c r="C370" s="355"/>
      <c r="D370" s="355"/>
      <c r="E370" s="355"/>
      <c r="F370" s="355"/>
    </row>
    <row r="371" spans="1:6" ht="37.5" customHeight="1" x14ac:dyDescent="0.3">
      <c r="A371" s="355" t="s">
        <v>735</v>
      </c>
      <c r="B371" s="355"/>
      <c r="C371" s="355"/>
      <c r="D371" s="355"/>
      <c r="E371" s="355"/>
      <c r="F371" s="355"/>
    </row>
    <row r="372" spans="1:6" ht="54" customHeight="1" x14ac:dyDescent="0.3">
      <c r="A372" s="355" t="s">
        <v>736</v>
      </c>
      <c r="B372" s="355"/>
      <c r="C372" s="355"/>
      <c r="D372" s="355"/>
      <c r="E372" s="355"/>
      <c r="F372" s="355"/>
    </row>
    <row r="373" spans="1:6" ht="37.5" customHeight="1" x14ac:dyDescent="0.3">
      <c r="A373" s="355" t="s">
        <v>737</v>
      </c>
      <c r="B373" s="355"/>
      <c r="C373" s="355"/>
      <c r="D373" s="355"/>
      <c r="E373" s="355"/>
      <c r="F373" s="355"/>
    </row>
    <row r="374" spans="1:6" ht="37.5" customHeight="1" x14ac:dyDescent="0.3">
      <c r="A374" s="355" t="s">
        <v>738</v>
      </c>
      <c r="B374" s="355"/>
      <c r="C374" s="355"/>
      <c r="D374" s="355"/>
      <c r="E374" s="355"/>
      <c r="F374" s="355"/>
    </row>
    <row r="375" spans="1:6" ht="37.5" customHeight="1" x14ac:dyDescent="0.3">
      <c r="A375" s="355" t="s">
        <v>739</v>
      </c>
      <c r="B375" s="355"/>
      <c r="C375" s="355"/>
      <c r="D375" s="355"/>
      <c r="E375" s="355"/>
      <c r="F375" s="355"/>
    </row>
    <row r="376" spans="1:6" ht="37.5" customHeight="1" x14ac:dyDescent="0.3">
      <c r="A376" s="355" t="s">
        <v>740</v>
      </c>
      <c r="B376" s="355"/>
      <c r="C376" s="355"/>
      <c r="D376" s="355"/>
      <c r="E376" s="355"/>
      <c r="F376" s="355"/>
    </row>
    <row r="377" spans="1:6" ht="21.75" customHeight="1" x14ac:dyDescent="0.3">
      <c r="A377" s="356" t="s">
        <v>741</v>
      </c>
      <c r="B377" s="356"/>
      <c r="C377" s="356"/>
      <c r="D377" s="356"/>
      <c r="E377" s="356"/>
      <c r="F377" s="356"/>
    </row>
    <row r="378" spans="1:6" ht="37.5" customHeight="1" x14ac:dyDescent="0.3">
      <c r="A378" s="355" t="s">
        <v>742</v>
      </c>
      <c r="B378" s="355"/>
      <c r="C378" s="355"/>
      <c r="D378" s="355"/>
      <c r="E378" s="355"/>
      <c r="F378" s="355"/>
    </row>
    <row r="379" spans="1:6" ht="54" customHeight="1" x14ac:dyDescent="0.3">
      <c r="A379" s="355" t="s">
        <v>743</v>
      </c>
      <c r="B379" s="355"/>
      <c r="C379" s="355"/>
      <c r="D379" s="355"/>
      <c r="E379" s="355"/>
      <c r="F379" s="355"/>
    </row>
    <row r="380" spans="1:6" ht="37.5" customHeight="1" x14ac:dyDescent="0.3">
      <c r="A380" s="355" t="s">
        <v>744</v>
      </c>
      <c r="B380" s="355"/>
      <c r="C380" s="355"/>
      <c r="D380" s="355"/>
      <c r="E380" s="355"/>
      <c r="F380" s="355"/>
    </row>
    <row r="381" spans="1:6" ht="54" customHeight="1" x14ac:dyDescent="0.3">
      <c r="A381" s="355" t="s">
        <v>745</v>
      </c>
      <c r="B381" s="355"/>
      <c r="C381" s="355"/>
      <c r="D381" s="355"/>
      <c r="E381" s="355"/>
      <c r="F381" s="355"/>
    </row>
    <row r="382" spans="1:6" ht="37.5" customHeight="1" x14ac:dyDescent="0.3">
      <c r="A382" s="355" t="s">
        <v>746</v>
      </c>
      <c r="B382" s="355"/>
      <c r="C382" s="355"/>
      <c r="D382" s="355"/>
      <c r="E382" s="355"/>
      <c r="F382" s="355"/>
    </row>
    <row r="383" spans="1:6" ht="37.5" customHeight="1" x14ac:dyDescent="0.3">
      <c r="A383" s="355" t="s">
        <v>747</v>
      </c>
      <c r="B383" s="355"/>
      <c r="C383" s="355"/>
      <c r="D383" s="355"/>
      <c r="E383" s="355"/>
      <c r="F383" s="355"/>
    </row>
    <row r="384" spans="1:6" ht="37.5" customHeight="1" x14ac:dyDescent="0.3">
      <c r="A384" s="355" t="s">
        <v>748</v>
      </c>
      <c r="B384" s="355"/>
      <c r="C384" s="355"/>
      <c r="D384" s="355"/>
      <c r="E384" s="355"/>
      <c r="F384" s="355"/>
    </row>
    <row r="385" spans="1:6" ht="54" customHeight="1" x14ac:dyDescent="0.3">
      <c r="A385" s="355" t="s">
        <v>749</v>
      </c>
      <c r="B385" s="355"/>
      <c r="C385" s="355"/>
      <c r="D385" s="355"/>
      <c r="E385" s="355"/>
      <c r="F385" s="355"/>
    </row>
    <row r="386" spans="1:6" ht="54" customHeight="1" x14ac:dyDescent="0.3">
      <c r="A386" s="355" t="s">
        <v>750</v>
      </c>
      <c r="B386" s="355"/>
      <c r="C386" s="355"/>
      <c r="D386" s="355"/>
      <c r="E386" s="355"/>
      <c r="F386" s="355"/>
    </row>
    <row r="387" spans="1:6" ht="37.5" customHeight="1" x14ac:dyDescent="0.3">
      <c r="A387" s="355" t="s">
        <v>751</v>
      </c>
      <c r="B387" s="355"/>
      <c r="C387" s="355"/>
      <c r="D387" s="355"/>
      <c r="E387" s="355"/>
      <c r="F387" s="355"/>
    </row>
    <row r="388" spans="1:6" ht="37.5" customHeight="1" x14ac:dyDescent="0.3">
      <c r="A388" s="355" t="s">
        <v>752</v>
      </c>
      <c r="B388" s="355"/>
      <c r="C388" s="355"/>
      <c r="D388" s="355"/>
      <c r="E388" s="355"/>
      <c r="F388" s="355"/>
    </row>
    <row r="389" spans="1:6" ht="21.75" customHeight="1" x14ac:dyDescent="0.3">
      <c r="A389" s="355" t="s">
        <v>753</v>
      </c>
      <c r="B389" s="355"/>
      <c r="C389" s="355"/>
      <c r="D389" s="355"/>
      <c r="E389" s="355"/>
      <c r="F389" s="355"/>
    </row>
    <row r="390" spans="1:6" ht="85.5" customHeight="1" x14ac:dyDescent="0.3">
      <c r="A390" s="355" t="s">
        <v>754</v>
      </c>
      <c r="B390" s="355"/>
      <c r="C390" s="355"/>
      <c r="D390" s="355"/>
      <c r="E390" s="355"/>
      <c r="F390" s="355"/>
    </row>
    <row r="391" spans="1:6" ht="69.75" customHeight="1" x14ac:dyDescent="0.3">
      <c r="A391" s="355" t="s">
        <v>755</v>
      </c>
      <c r="B391" s="355"/>
      <c r="C391" s="355"/>
      <c r="D391" s="355"/>
      <c r="E391" s="355"/>
      <c r="F391" s="355"/>
    </row>
    <row r="392" spans="1:6" ht="37.5" customHeight="1" x14ac:dyDescent="0.3">
      <c r="A392" s="355" t="s">
        <v>756</v>
      </c>
      <c r="B392" s="355"/>
      <c r="C392" s="355"/>
      <c r="D392" s="355"/>
      <c r="E392" s="355"/>
      <c r="F392" s="355"/>
    </row>
    <row r="393" spans="1:6" ht="69.75" customHeight="1" x14ac:dyDescent="0.3">
      <c r="A393" s="355" t="s">
        <v>757</v>
      </c>
      <c r="B393" s="355"/>
      <c r="C393" s="355"/>
      <c r="D393" s="355"/>
      <c r="E393" s="355"/>
      <c r="F393" s="355"/>
    </row>
    <row r="394" spans="1:6" ht="69.75" customHeight="1" x14ac:dyDescent="0.3">
      <c r="A394" s="355" t="s">
        <v>758</v>
      </c>
      <c r="B394" s="355"/>
      <c r="C394" s="355"/>
      <c r="D394" s="355"/>
      <c r="E394" s="355"/>
      <c r="F394" s="355"/>
    </row>
    <row r="395" spans="1:6" ht="69.75" customHeight="1" x14ac:dyDescent="0.3">
      <c r="A395" s="355" t="s">
        <v>759</v>
      </c>
      <c r="B395" s="355"/>
      <c r="C395" s="355"/>
      <c r="D395" s="355"/>
      <c r="E395" s="355"/>
      <c r="F395" s="355"/>
    </row>
    <row r="396" spans="1:6" ht="37.5" customHeight="1" x14ac:dyDescent="0.3">
      <c r="A396" s="355" t="s">
        <v>760</v>
      </c>
      <c r="B396" s="355"/>
      <c r="C396" s="355"/>
      <c r="D396" s="355"/>
      <c r="E396" s="355"/>
      <c r="F396" s="355"/>
    </row>
    <row r="397" spans="1:6" ht="54" customHeight="1" x14ac:dyDescent="0.3">
      <c r="A397" s="355" t="s">
        <v>761</v>
      </c>
      <c r="B397" s="355"/>
      <c r="C397" s="355"/>
      <c r="D397" s="355"/>
      <c r="E397" s="355"/>
      <c r="F397" s="355"/>
    </row>
    <row r="398" spans="1:6" ht="69.75" customHeight="1" x14ac:dyDescent="0.3">
      <c r="A398" s="355" t="s">
        <v>762</v>
      </c>
      <c r="B398" s="355"/>
      <c r="C398" s="355"/>
      <c r="D398" s="355"/>
      <c r="E398" s="355"/>
      <c r="F398" s="355"/>
    </row>
    <row r="399" spans="1:6" ht="69.75" customHeight="1" x14ac:dyDescent="0.3">
      <c r="A399" s="355" t="s">
        <v>763</v>
      </c>
      <c r="B399" s="355"/>
      <c r="C399" s="355"/>
      <c r="D399" s="355"/>
      <c r="E399" s="355"/>
      <c r="F399" s="355"/>
    </row>
    <row r="400" spans="1:6" ht="37.5" customHeight="1" x14ac:dyDescent="0.3">
      <c r="A400" s="355" t="s">
        <v>764</v>
      </c>
      <c r="B400" s="355"/>
      <c r="C400" s="355"/>
      <c r="D400" s="355"/>
      <c r="E400" s="355"/>
      <c r="F400" s="355"/>
    </row>
    <row r="401" spans="1:6" ht="37.5" customHeight="1" x14ac:dyDescent="0.3">
      <c r="A401" s="355" t="s">
        <v>765</v>
      </c>
      <c r="B401" s="355"/>
      <c r="C401" s="355"/>
      <c r="D401" s="355"/>
      <c r="E401" s="355"/>
      <c r="F401" s="355"/>
    </row>
    <row r="402" spans="1:6" ht="37.5" customHeight="1" x14ac:dyDescent="0.3">
      <c r="A402" s="355" t="s">
        <v>766</v>
      </c>
      <c r="B402" s="355"/>
      <c r="C402" s="355"/>
      <c r="D402" s="355"/>
      <c r="E402" s="355"/>
      <c r="F402" s="355"/>
    </row>
    <row r="403" spans="1:6" ht="69.75" customHeight="1" x14ac:dyDescent="0.3">
      <c r="A403" s="355" t="s">
        <v>767</v>
      </c>
      <c r="B403" s="355"/>
      <c r="C403" s="355"/>
      <c r="D403" s="355"/>
      <c r="E403" s="355"/>
      <c r="F403" s="355"/>
    </row>
    <row r="404" spans="1:6" ht="37.5" customHeight="1" x14ac:dyDescent="0.3">
      <c r="A404" s="355" t="s">
        <v>768</v>
      </c>
      <c r="B404" s="355"/>
      <c r="C404" s="355"/>
      <c r="D404" s="355"/>
      <c r="E404" s="355"/>
      <c r="F404" s="355"/>
    </row>
    <row r="405" spans="1:6" ht="37.5" customHeight="1" x14ac:dyDescent="0.3">
      <c r="A405" s="355" t="s">
        <v>769</v>
      </c>
      <c r="B405" s="355"/>
      <c r="C405" s="355"/>
      <c r="D405" s="355"/>
      <c r="E405" s="355"/>
      <c r="F405" s="355"/>
    </row>
    <row r="406" spans="1:6" ht="21.75" customHeight="1" x14ac:dyDescent="0.3">
      <c r="A406" s="355" t="s">
        <v>770</v>
      </c>
      <c r="B406" s="355"/>
      <c r="C406" s="355"/>
      <c r="D406" s="355"/>
      <c r="E406" s="355"/>
      <c r="F406" s="355"/>
    </row>
    <row r="407" spans="1:6" ht="85.5" customHeight="1" x14ac:dyDescent="0.3">
      <c r="A407" s="355" t="s">
        <v>771</v>
      </c>
      <c r="B407" s="355"/>
      <c r="C407" s="355"/>
      <c r="D407" s="355"/>
      <c r="E407" s="355"/>
      <c r="F407" s="355"/>
    </row>
    <row r="408" spans="1:6" ht="21.75" customHeight="1" x14ac:dyDescent="0.3">
      <c r="A408" s="355" t="s">
        <v>772</v>
      </c>
      <c r="B408" s="355"/>
      <c r="C408" s="355"/>
      <c r="D408" s="355"/>
      <c r="E408" s="355"/>
      <c r="F408" s="355"/>
    </row>
    <row r="409" spans="1:6" ht="37.5" customHeight="1" x14ac:dyDescent="0.3">
      <c r="A409" s="355" t="s">
        <v>773</v>
      </c>
      <c r="B409" s="355"/>
      <c r="C409" s="355"/>
      <c r="D409" s="355"/>
      <c r="E409" s="355"/>
      <c r="F409" s="355"/>
    </row>
    <row r="410" spans="1:6" ht="37.5" customHeight="1" x14ac:dyDescent="0.3">
      <c r="A410" s="355" t="s">
        <v>774</v>
      </c>
      <c r="B410" s="355"/>
      <c r="C410" s="355"/>
      <c r="D410" s="355"/>
      <c r="E410" s="355"/>
      <c r="F410" s="355"/>
    </row>
    <row r="411" spans="1:6" ht="37.5" customHeight="1" x14ac:dyDescent="0.3">
      <c r="A411" s="355" t="s">
        <v>775</v>
      </c>
      <c r="B411" s="355"/>
      <c r="C411" s="355"/>
      <c r="D411" s="355"/>
      <c r="E411" s="355"/>
      <c r="F411" s="355"/>
    </row>
    <row r="412" spans="1:6" ht="21.75" customHeight="1" x14ac:dyDescent="0.3">
      <c r="A412" s="356" t="s">
        <v>776</v>
      </c>
      <c r="B412" s="356"/>
      <c r="C412" s="356"/>
      <c r="D412" s="356"/>
      <c r="E412" s="356"/>
      <c r="F412" s="356"/>
    </row>
    <row r="413" spans="1:6" ht="21.75" customHeight="1" x14ac:dyDescent="0.3">
      <c r="A413" s="355" t="s">
        <v>777</v>
      </c>
      <c r="B413" s="355"/>
      <c r="C413" s="355"/>
      <c r="D413" s="355"/>
      <c r="E413" s="355"/>
      <c r="F413" s="355"/>
    </row>
    <row r="414" spans="1:6" ht="21.75" customHeight="1" x14ac:dyDescent="0.3">
      <c r="A414" s="355" t="s">
        <v>778</v>
      </c>
      <c r="B414" s="355"/>
      <c r="C414" s="355"/>
      <c r="D414" s="355"/>
      <c r="E414" s="355"/>
      <c r="F414" s="355"/>
    </row>
    <row r="415" spans="1:6" ht="21.75" customHeight="1" x14ac:dyDescent="0.3">
      <c r="A415" s="355" t="s">
        <v>779</v>
      </c>
      <c r="B415" s="355"/>
      <c r="C415" s="355"/>
      <c r="D415" s="355"/>
      <c r="E415" s="355"/>
      <c r="F415" s="355"/>
    </row>
    <row r="416" spans="1:6" ht="21.75" customHeight="1" x14ac:dyDescent="0.3">
      <c r="A416" s="356" t="s">
        <v>780</v>
      </c>
      <c r="B416" s="356"/>
      <c r="C416" s="356"/>
      <c r="D416" s="356"/>
      <c r="E416" s="356"/>
      <c r="F416" s="356"/>
    </row>
    <row r="417" spans="1:6" ht="21.75" customHeight="1" x14ac:dyDescent="0.3">
      <c r="A417" s="355" t="s">
        <v>781</v>
      </c>
      <c r="B417" s="355"/>
      <c r="C417" s="355"/>
      <c r="D417" s="355"/>
      <c r="E417" s="355"/>
      <c r="F417" s="355"/>
    </row>
    <row r="418" spans="1:6" ht="37.5" customHeight="1" x14ac:dyDescent="0.3">
      <c r="A418" s="355" t="s">
        <v>782</v>
      </c>
      <c r="B418" s="355"/>
      <c r="C418" s="355"/>
      <c r="D418" s="355"/>
      <c r="E418" s="355"/>
      <c r="F418" s="355"/>
    </row>
    <row r="419" spans="1:6" ht="37.5" customHeight="1" x14ac:dyDescent="0.3">
      <c r="A419" s="355" t="s">
        <v>783</v>
      </c>
      <c r="B419" s="355"/>
      <c r="C419" s="355"/>
      <c r="D419" s="355"/>
      <c r="E419" s="355"/>
      <c r="F419" s="355"/>
    </row>
    <row r="420" spans="1:6" ht="21.75" customHeight="1" x14ac:dyDescent="0.3">
      <c r="A420" s="355" t="s">
        <v>784</v>
      </c>
      <c r="B420" s="355"/>
      <c r="C420" s="355"/>
      <c r="D420" s="355"/>
      <c r="E420" s="355"/>
      <c r="F420" s="355"/>
    </row>
    <row r="421" spans="1:6" ht="54" customHeight="1" x14ac:dyDescent="0.3">
      <c r="A421" s="355" t="s">
        <v>785</v>
      </c>
      <c r="B421" s="355"/>
      <c r="C421" s="355"/>
      <c r="D421" s="355"/>
      <c r="E421" s="355"/>
      <c r="F421" s="355"/>
    </row>
    <row r="422" spans="1:6" ht="21.75" customHeight="1" x14ac:dyDescent="0.3">
      <c r="A422" s="355" t="s">
        <v>786</v>
      </c>
      <c r="B422" s="355"/>
      <c r="C422" s="355"/>
      <c r="D422" s="355"/>
      <c r="E422" s="355"/>
      <c r="F422" s="355"/>
    </row>
    <row r="423" spans="1:6" ht="21.75" customHeight="1" x14ac:dyDescent="0.3">
      <c r="A423" s="356" t="s">
        <v>787</v>
      </c>
      <c r="B423" s="356"/>
      <c r="C423" s="356"/>
      <c r="D423" s="356"/>
      <c r="E423" s="356"/>
      <c r="F423" s="356"/>
    </row>
    <row r="424" spans="1:6" ht="54" customHeight="1" x14ac:dyDescent="0.3">
      <c r="A424" s="355" t="s">
        <v>788</v>
      </c>
      <c r="B424" s="355"/>
      <c r="C424" s="355"/>
      <c r="D424" s="355"/>
      <c r="E424" s="355"/>
      <c r="F424" s="355"/>
    </row>
    <row r="425" spans="1:6" ht="69.75" customHeight="1" x14ac:dyDescent="0.3">
      <c r="A425" s="355" t="s">
        <v>789</v>
      </c>
      <c r="B425" s="355"/>
      <c r="C425" s="355"/>
      <c r="D425" s="355"/>
      <c r="E425" s="355"/>
      <c r="F425" s="355"/>
    </row>
    <row r="426" spans="1:6" ht="54" customHeight="1" x14ac:dyDescent="0.3">
      <c r="A426" s="355" t="s">
        <v>790</v>
      </c>
      <c r="B426" s="355"/>
      <c r="C426" s="355"/>
      <c r="D426" s="355"/>
      <c r="E426" s="355"/>
      <c r="F426" s="355"/>
    </row>
    <row r="427" spans="1:6" ht="37.5" customHeight="1" x14ac:dyDescent="0.3">
      <c r="A427" s="355" t="s">
        <v>791</v>
      </c>
      <c r="B427" s="355"/>
      <c r="C427" s="355"/>
      <c r="D427" s="355"/>
      <c r="E427" s="355"/>
      <c r="F427" s="355"/>
    </row>
    <row r="428" spans="1:6" ht="54" customHeight="1" x14ac:dyDescent="0.3">
      <c r="A428" s="355" t="s">
        <v>792</v>
      </c>
      <c r="B428" s="355"/>
      <c r="C428" s="355"/>
      <c r="D428" s="355"/>
      <c r="E428" s="355"/>
      <c r="F428" s="355"/>
    </row>
    <row r="429" spans="1:6" ht="21.75" customHeight="1" x14ac:dyDescent="0.3">
      <c r="A429" s="355" t="s">
        <v>793</v>
      </c>
      <c r="B429" s="355"/>
      <c r="C429" s="355"/>
      <c r="D429" s="355"/>
      <c r="E429" s="355"/>
      <c r="F429" s="355"/>
    </row>
    <row r="430" spans="1:6" ht="21.75" customHeight="1" x14ac:dyDescent="0.3">
      <c r="A430" s="356" t="s">
        <v>794</v>
      </c>
      <c r="B430" s="356"/>
      <c r="C430" s="356"/>
      <c r="D430" s="356"/>
      <c r="E430" s="356"/>
      <c r="F430" s="356"/>
    </row>
    <row r="431" spans="1:6" ht="69.75" customHeight="1" x14ac:dyDescent="0.3">
      <c r="A431" s="355" t="s">
        <v>795</v>
      </c>
      <c r="B431" s="355"/>
      <c r="C431" s="355"/>
      <c r="D431" s="355"/>
      <c r="E431" s="355"/>
      <c r="F431" s="355"/>
    </row>
    <row r="432" spans="1:6" ht="21.75" customHeight="1" x14ac:dyDescent="0.3">
      <c r="A432" s="355" t="s">
        <v>796</v>
      </c>
      <c r="B432" s="355"/>
      <c r="C432" s="355"/>
      <c r="D432" s="355"/>
      <c r="E432" s="355"/>
      <c r="F432" s="355"/>
    </row>
    <row r="433" spans="1:6" ht="54" customHeight="1" x14ac:dyDescent="0.3">
      <c r="A433" s="355" t="s">
        <v>797</v>
      </c>
      <c r="B433" s="355"/>
      <c r="C433" s="355"/>
      <c r="D433" s="355"/>
      <c r="E433" s="355"/>
      <c r="F433" s="355"/>
    </row>
    <row r="434" spans="1:6" ht="85.5" customHeight="1" x14ac:dyDescent="0.3">
      <c r="A434" s="355" t="s">
        <v>798</v>
      </c>
      <c r="B434" s="355"/>
      <c r="C434" s="355"/>
      <c r="D434" s="355"/>
      <c r="E434" s="355"/>
      <c r="F434" s="355"/>
    </row>
    <row r="435" spans="1:6" ht="54" customHeight="1" x14ac:dyDescent="0.3">
      <c r="A435" s="355" t="s">
        <v>799</v>
      </c>
      <c r="B435" s="355"/>
      <c r="C435" s="355"/>
      <c r="D435" s="355"/>
      <c r="E435" s="355"/>
      <c r="F435" s="355"/>
    </row>
    <row r="436" spans="1:6" ht="37.5" customHeight="1" x14ac:dyDescent="0.3">
      <c r="A436" s="355" t="s">
        <v>800</v>
      </c>
      <c r="B436" s="355"/>
      <c r="C436" s="355"/>
      <c r="D436" s="355"/>
      <c r="E436" s="355"/>
      <c r="F436" s="355"/>
    </row>
    <row r="437" spans="1:6" ht="21.75" customHeight="1" x14ac:dyDescent="0.3">
      <c r="A437" s="355" t="s">
        <v>801</v>
      </c>
      <c r="B437" s="355"/>
      <c r="C437" s="355"/>
      <c r="D437" s="355"/>
      <c r="E437" s="355"/>
      <c r="F437" s="355"/>
    </row>
    <row r="438" spans="1:6" ht="21.75" customHeight="1" x14ac:dyDescent="0.3">
      <c r="A438" s="355" t="s">
        <v>802</v>
      </c>
      <c r="B438" s="355"/>
      <c r="C438" s="355"/>
      <c r="D438" s="355"/>
      <c r="E438" s="355"/>
      <c r="F438" s="355"/>
    </row>
    <row r="439" spans="1:6" ht="21.75" customHeight="1" x14ac:dyDescent="0.3">
      <c r="A439" s="355" t="s">
        <v>803</v>
      </c>
      <c r="B439" s="355"/>
      <c r="C439" s="355"/>
      <c r="D439" s="355"/>
      <c r="E439" s="355"/>
      <c r="F439" s="355"/>
    </row>
    <row r="440" spans="1:6" ht="21.75" customHeight="1" x14ac:dyDescent="0.3">
      <c r="A440" s="355" t="s">
        <v>804</v>
      </c>
      <c r="B440" s="355"/>
      <c r="C440" s="355"/>
      <c r="D440" s="355"/>
      <c r="E440" s="355"/>
      <c r="F440" s="355"/>
    </row>
    <row r="441" spans="1:6" ht="21.75" customHeight="1" x14ac:dyDescent="0.3">
      <c r="A441" s="355" t="s">
        <v>805</v>
      </c>
      <c r="B441" s="355"/>
      <c r="C441" s="355"/>
      <c r="D441" s="355"/>
      <c r="E441" s="355"/>
      <c r="F441" s="355"/>
    </row>
    <row r="442" spans="1:6" ht="21.75" customHeight="1" x14ac:dyDescent="0.3">
      <c r="A442" s="355" t="s">
        <v>806</v>
      </c>
      <c r="B442" s="355"/>
      <c r="C442" s="355"/>
      <c r="D442" s="355"/>
      <c r="E442" s="355"/>
      <c r="F442" s="355"/>
    </row>
    <row r="443" spans="1:6" ht="21.75" customHeight="1" x14ac:dyDescent="0.3">
      <c r="A443" s="355" t="s">
        <v>807</v>
      </c>
      <c r="B443" s="355"/>
      <c r="C443" s="355"/>
      <c r="D443" s="355"/>
      <c r="E443" s="355"/>
      <c r="F443" s="355"/>
    </row>
    <row r="444" spans="1:6" ht="21.75" customHeight="1" x14ac:dyDescent="0.3">
      <c r="A444" s="355" t="s">
        <v>808</v>
      </c>
      <c r="B444" s="355"/>
      <c r="C444" s="355"/>
      <c r="D444" s="355"/>
      <c r="E444" s="355"/>
      <c r="F444" s="355"/>
    </row>
    <row r="445" spans="1:6" ht="21.75" customHeight="1" x14ac:dyDescent="0.3">
      <c r="A445" s="356" t="s">
        <v>809</v>
      </c>
      <c r="B445" s="356"/>
      <c r="C445" s="356"/>
      <c r="D445" s="356"/>
      <c r="E445" s="356"/>
      <c r="F445" s="356"/>
    </row>
    <row r="446" spans="1:6" ht="21.75" customHeight="1" x14ac:dyDescent="0.3">
      <c r="A446" s="355" t="s">
        <v>810</v>
      </c>
      <c r="B446" s="355"/>
      <c r="C446" s="355"/>
      <c r="D446" s="355"/>
      <c r="E446" s="355"/>
      <c r="F446" s="355"/>
    </row>
    <row r="447" spans="1:6" ht="37.5" customHeight="1" x14ac:dyDescent="0.3">
      <c r="A447" s="355" t="s">
        <v>811</v>
      </c>
      <c r="B447" s="355"/>
      <c r="C447" s="355"/>
      <c r="D447" s="355"/>
      <c r="E447" s="355"/>
      <c r="F447" s="355"/>
    </row>
    <row r="448" spans="1:6" ht="37.5" customHeight="1" x14ac:dyDescent="0.3">
      <c r="A448" s="355" t="s">
        <v>812</v>
      </c>
      <c r="B448" s="355"/>
      <c r="C448" s="355"/>
      <c r="D448" s="355"/>
      <c r="E448" s="355"/>
      <c r="F448" s="355"/>
    </row>
    <row r="449" spans="1:6" ht="21.75" customHeight="1" x14ac:dyDescent="0.3">
      <c r="A449" s="355" t="s">
        <v>813</v>
      </c>
      <c r="B449" s="355"/>
      <c r="C449" s="355"/>
      <c r="D449" s="355"/>
      <c r="E449" s="355"/>
      <c r="F449" s="355"/>
    </row>
    <row r="450" spans="1:6" ht="37.5" customHeight="1" x14ac:dyDescent="0.3">
      <c r="A450" s="355" t="s">
        <v>814</v>
      </c>
      <c r="B450" s="355"/>
      <c r="C450" s="355"/>
      <c r="D450" s="355"/>
      <c r="E450" s="355"/>
      <c r="F450" s="355"/>
    </row>
    <row r="451" spans="1:6" ht="21.75" customHeight="1" x14ac:dyDescent="0.3">
      <c r="A451" s="355" t="s">
        <v>815</v>
      </c>
      <c r="B451" s="355"/>
      <c r="C451" s="355"/>
      <c r="D451" s="355"/>
      <c r="E451" s="355"/>
      <c r="F451" s="355"/>
    </row>
    <row r="452" spans="1:6" ht="21.75" customHeight="1" x14ac:dyDescent="0.3">
      <c r="A452" s="355" t="s">
        <v>816</v>
      </c>
      <c r="B452" s="355"/>
      <c r="C452" s="355"/>
      <c r="D452" s="355"/>
      <c r="E452" s="355"/>
      <c r="F452" s="355"/>
    </row>
    <row r="453" spans="1:6" ht="21.75" customHeight="1" x14ac:dyDescent="0.3">
      <c r="A453" s="355" t="s">
        <v>817</v>
      </c>
      <c r="B453" s="355"/>
      <c r="C453" s="355"/>
      <c r="D453" s="355"/>
      <c r="E453" s="355"/>
      <c r="F453" s="355"/>
    </row>
    <row r="454" spans="1:6" ht="37.5" customHeight="1" x14ac:dyDescent="0.3">
      <c r="A454" s="355" t="s">
        <v>818</v>
      </c>
      <c r="B454" s="355"/>
      <c r="C454" s="355"/>
      <c r="D454" s="355"/>
      <c r="E454" s="355"/>
      <c r="F454" s="355"/>
    </row>
    <row r="455" spans="1:6" ht="21.75" customHeight="1" x14ac:dyDescent="0.3">
      <c r="A455" s="355" t="s">
        <v>819</v>
      </c>
      <c r="B455" s="355"/>
      <c r="C455" s="355"/>
      <c r="D455" s="355"/>
      <c r="E455" s="355"/>
      <c r="F455" s="355"/>
    </row>
    <row r="456" spans="1:6" ht="37.5" customHeight="1" x14ac:dyDescent="0.3">
      <c r="A456" s="355" t="s">
        <v>820</v>
      </c>
      <c r="B456" s="355"/>
      <c r="C456" s="355"/>
      <c r="D456" s="355"/>
      <c r="E456" s="355"/>
      <c r="F456" s="355"/>
    </row>
    <row r="457" spans="1:6" ht="21.75" customHeight="1" x14ac:dyDescent="0.3">
      <c r="A457" s="355" t="s">
        <v>821</v>
      </c>
      <c r="B457" s="355"/>
      <c r="C457" s="355"/>
      <c r="D457" s="355"/>
      <c r="E457" s="355"/>
      <c r="F457" s="355"/>
    </row>
    <row r="458" spans="1:6" ht="37.5" customHeight="1" x14ac:dyDescent="0.3">
      <c r="A458" s="355" t="s">
        <v>822</v>
      </c>
      <c r="B458" s="355"/>
      <c r="C458" s="355"/>
      <c r="D458" s="355"/>
      <c r="E458" s="355"/>
      <c r="F458" s="355"/>
    </row>
    <row r="459" spans="1:6" ht="21.75" customHeight="1" x14ac:dyDescent="0.3">
      <c r="A459" s="355" t="s">
        <v>823</v>
      </c>
      <c r="B459" s="355"/>
      <c r="C459" s="355"/>
      <c r="D459" s="355"/>
      <c r="E459" s="355"/>
      <c r="F459" s="355"/>
    </row>
    <row r="460" spans="1:6" ht="21.75" customHeight="1" x14ac:dyDescent="0.3">
      <c r="A460" s="355" t="s">
        <v>824</v>
      </c>
      <c r="B460" s="355"/>
      <c r="C460" s="355"/>
      <c r="D460" s="355"/>
      <c r="E460" s="355"/>
      <c r="F460" s="355"/>
    </row>
    <row r="461" spans="1:6" ht="21.75" customHeight="1" x14ac:dyDescent="0.3">
      <c r="A461" s="356" t="s">
        <v>825</v>
      </c>
      <c r="B461" s="356"/>
      <c r="C461" s="356"/>
      <c r="D461" s="356"/>
      <c r="E461" s="356"/>
      <c r="F461" s="356"/>
    </row>
    <row r="462" spans="1:6" ht="21.75" customHeight="1" x14ac:dyDescent="0.3">
      <c r="A462" s="356" t="s">
        <v>826</v>
      </c>
      <c r="B462" s="356"/>
      <c r="C462" s="356"/>
      <c r="D462" s="356"/>
      <c r="E462" s="356"/>
      <c r="F462" s="356"/>
    </row>
    <row r="463" spans="1:6" ht="54" customHeight="1" x14ac:dyDescent="0.3">
      <c r="A463" s="355" t="s">
        <v>827</v>
      </c>
      <c r="B463" s="355"/>
      <c r="C463" s="355"/>
      <c r="D463" s="355"/>
      <c r="E463" s="355"/>
      <c r="F463" s="355"/>
    </row>
    <row r="464" spans="1:6" ht="37.5" customHeight="1" x14ac:dyDescent="0.3">
      <c r="A464" s="355" t="s">
        <v>828</v>
      </c>
      <c r="B464" s="355"/>
      <c r="C464" s="355"/>
      <c r="D464" s="355"/>
      <c r="E464" s="355"/>
      <c r="F464" s="355"/>
    </row>
    <row r="465" spans="1:6" ht="54" customHeight="1" x14ac:dyDescent="0.3">
      <c r="A465" s="355" t="s">
        <v>829</v>
      </c>
      <c r="B465" s="355"/>
      <c r="C465" s="355"/>
      <c r="D465" s="355"/>
      <c r="E465" s="355"/>
      <c r="F465" s="355"/>
    </row>
    <row r="466" spans="1:6" ht="21.75" customHeight="1" x14ac:dyDescent="0.3">
      <c r="A466" s="355" t="s">
        <v>830</v>
      </c>
      <c r="B466" s="355"/>
      <c r="C466" s="355"/>
      <c r="D466" s="355"/>
      <c r="E466" s="355"/>
      <c r="F466" s="355"/>
    </row>
    <row r="467" spans="1:6" ht="21.75" customHeight="1" x14ac:dyDescent="0.3">
      <c r="A467" s="356" t="s">
        <v>831</v>
      </c>
      <c r="B467" s="356"/>
      <c r="C467" s="356"/>
      <c r="D467" s="356"/>
      <c r="E467" s="356"/>
      <c r="F467" s="356"/>
    </row>
    <row r="468" spans="1:6" ht="21.75" customHeight="1" x14ac:dyDescent="0.3">
      <c r="A468" s="355" t="s">
        <v>832</v>
      </c>
      <c r="B468" s="355"/>
      <c r="C468" s="355"/>
      <c r="D468" s="355"/>
      <c r="E468" s="355"/>
      <c r="F468" s="355"/>
    </row>
    <row r="469" spans="1:6" ht="21.75" customHeight="1" x14ac:dyDescent="0.3">
      <c r="A469" s="355" t="s">
        <v>833</v>
      </c>
      <c r="B469" s="355"/>
      <c r="C469" s="355"/>
      <c r="D469" s="355"/>
      <c r="E469" s="355"/>
      <c r="F469" s="355"/>
    </row>
    <row r="470" spans="1:6" ht="37.5" customHeight="1" x14ac:dyDescent="0.3">
      <c r="A470" s="355" t="s">
        <v>834</v>
      </c>
      <c r="B470" s="355"/>
      <c r="C470" s="355"/>
      <c r="D470" s="355"/>
      <c r="E470" s="355"/>
      <c r="F470" s="355"/>
    </row>
    <row r="471" spans="1:6" ht="54" customHeight="1" x14ac:dyDescent="0.3">
      <c r="A471" s="355" t="s">
        <v>835</v>
      </c>
      <c r="B471" s="355"/>
      <c r="C471" s="355"/>
      <c r="D471" s="355"/>
      <c r="E471" s="355"/>
      <c r="F471" s="355"/>
    </row>
    <row r="472" spans="1:6" ht="37.5" customHeight="1" x14ac:dyDescent="0.3">
      <c r="A472" s="355" t="s">
        <v>836</v>
      </c>
      <c r="B472" s="355"/>
      <c r="C472" s="355"/>
      <c r="D472" s="355"/>
      <c r="E472" s="355"/>
      <c r="F472" s="355"/>
    </row>
    <row r="473" spans="1:6" ht="21.75" customHeight="1" x14ac:dyDescent="0.3">
      <c r="A473" s="355" t="s">
        <v>837</v>
      </c>
      <c r="B473" s="355"/>
      <c r="C473" s="355"/>
      <c r="D473" s="355"/>
      <c r="E473" s="355"/>
      <c r="F473" s="355"/>
    </row>
    <row r="474" spans="1:6" ht="21.75" customHeight="1" x14ac:dyDescent="0.3">
      <c r="A474" s="355" t="s">
        <v>838</v>
      </c>
      <c r="B474" s="355"/>
      <c r="C474" s="355"/>
      <c r="D474" s="355"/>
      <c r="E474" s="355"/>
      <c r="F474" s="355"/>
    </row>
    <row r="475" spans="1:6" ht="21.75" customHeight="1" x14ac:dyDescent="0.3">
      <c r="A475" s="355" t="s">
        <v>839</v>
      </c>
      <c r="B475" s="355"/>
      <c r="C475" s="355"/>
      <c r="D475" s="355"/>
      <c r="E475" s="355"/>
      <c r="F475" s="355"/>
    </row>
    <row r="476" spans="1:6" ht="21.75" customHeight="1" x14ac:dyDescent="0.3">
      <c r="A476" s="355" t="s">
        <v>840</v>
      </c>
      <c r="B476" s="355"/>
      <c r="C476" s="355"/>
      <c r="D476" s="355"/>
      <c r="E476" s="355"/>
      <c r="F476" s="355"/>
    </row>
    <row r="477" spans="1:6" ht="21.75" customHeight="1" x14ac:dyDescent="0.3">
      <c r="A477" s="355" t="s">
        <v>841</v>
      </c>
      <c r="B477" s="355"/>
      <c r="C477" s="355"/>
      <c r="D477" s="355"/>
      <c r="E477" s="355"/>
      <c r="F477" s="355"/>
    </row>
    <row r="478" spans="1:6" ht="21.75" customHeight="1" x14ac:dyDescent="0.3">
      <c r="A478" s="355" t="s">
        <v>842</v>
      </c>
      <c r="B478" s="355"/>
      <c r="C478" s="355"/>
      <c r="D478" s="355"/>
      <c r="E478" s="355"/>
      <c r="F478" s="355"/>
    </row>
    <row r="479" spans="1:6" ht="21.75" customHeight="1" x14ac:dyDescent="0.3">
      <c r="A479" s="355" t="s">
        <v>843</v>
      </c>
      <c r="B479" s="355"/>
      <c r="C479" s="355"/>
      <c r="D479" s="355"/>
      <c r="E479" s="355"/>
      <c r="F479" s="355"/>
    </row>
    <row r="480" spans="1:6" ht="21.75" customHeight="1" x14ac:dyDescent="0.3">
      <c r="A480" s="355" t="s">
        <v>844</v>
      </c>
      <c r="B480" s="355"/>
      <c r="C480" s="355"/>
      <c r="D480" s="355"/>
      <c r="E480" s="355"/>
      <c r="F480" s="355"/>
    </row>
    <row r="481" spans="1:6" ht="21.75" customHeight="1" x14ac:dyDescent="0.3">
      <c r="A481" s="355" t="s">
        <v>845</v>
      </c>
      <c r="B481" s="355"/>
      <c r="C481" s="355"/>
      <c r="D481" s="355"/>
      <c r="E481" s="355"/>
      <c r="F481" s="355"/>
    </row>
    <row r="482" spans="1:6" ht="21.75" customHeight="1" x14ac:dyDescent="0.3">
      <c r="A482" s="355" t="s">
        <v>846</v>
      </c>
      <c r="B482" s="355"/>
      <c r="C482" s="355"/>
      <c r="D482" s="355"/>
      <c r="E482" s="355"/>
      <c r="F482" s="355"/>
    </row>
    <row r="483" spans="1:6" ht="21.75" customHeight="1" x14ac:dyDescent="0.3">
      <c r="A483" s="355" t="s">
        <v>847</v>
      </c>
      <c r="B483" s="355"/>
      <c r="C483" s="355"/>
      <c r="D483" s="355"/>
      <c r="E483" s="355"/>
      <c r="F483" s="355"/>
    </row>
    <row r="484" spans="1:6" ht="21.75" customHeight="1" x14ac:dyDescent="0.3">
      <c r="A484" s="355" t="s">
        <v>848</v>
      </c>
      <c r="B484" s="355"/>
      <c r="C484" s="355"/>
      <c r="D484" s="355"/>
      <c r="E484" s="355"/>
      <c r="F484" s="355"/>
    </row>
    <row r="485" spans="1:6" ht="21.75" customHeight="1" x14ac:dyDescent="0.3">
      <c r="A485" s="355" t="s">
        <v>849</v>
      </c>
      <c r="B485" s="355"/>
      <c r="C485" s="355"/>
      <c r="D485" s="355"/>
      <c r="E485" s="355"/>
      <c r="F485" s="355"/>
    </row>
    <row r="486" spans="1:6" ht="37.5" customHeight="1" x14ac:dyDescent="0.3">
      <c r="A486" s="355" t="s">
        <v>850</v>
      </c>
      <c r="B486" s="355"/>
      <c r="C486" s="355"/>
      <c r="D486" s="355"/>
      <c r="E486" s="355"/>
      <c r="F486" s="355"/>
    </row>
    <row r="487" spans="1:6" ht="21.75" customHeight="1" x14ac:dyDescent="0.3">
      <c r="A487" s="355" t="s">
        <v>851</v>
      </c>
      <c r="B487" s="355"/>
      <c r="C487" s="355"/>
      <c r="D487" s="355"/>
      <c r="E487" s="355"/>
      <c r="F487" s="355"/>
    </row>
    <row r="488" spans="1:6" ht="21.75" customHeight="1" x14ac:dyDescent="0.3">
      <c r="A488" s="355" t="s">
        <v>852</v>
      </c>
      <c r="B488" s="355"/>
      <c r="C488" s="355"/>
      <c r="D488" s="355"/>
      <c r="E488" s="355"/>
      <c r="F488" s="355"/>
    </row>
    <row r="489" spans="1:6" ht="37.5" customHeight="1" x14ac:dyDescent="0.3">
      <c r="A489" s="355" t="s">
        <v>853</v>
      </c>
      <c r="B489" s="355"/>
      <c r="C489" s="355"/>
      <c r="D489" s="355"/>
      <c r="E489" s="355"/>
      <c r="F489" s="355"/>
    </row>
    <row r="490" spans="1:6" ht="21.75" customHeight="1" x14ac:dyDescent="0.3">
      <c r="A490" s="355" t="s">
        <v>854</v>
      </c>
      <c r="B490" s="355"/>
      <c r="C490" s="355"/>
      <c r="D490" s="355"/>
      <c r="E490" s="355"/>
      <c r="F490" s="355"/>
    </row>
    <row r="491" spans="1:6" ht="21.75" customHeight="1" x14ac:dyDescent="0.3">
      <c r="A491" s="355" t="s">
        <v>855</v>
      </c>
      <c r="B491" s="355"/>
      <c r="C491" s="355"/>
      <c r="D491" s="355"/>
      <c r="E491" s="355"/>
      <c r="F491" s="355"/>
    </row>
    <row r="492" spans="1:6" ht="21.75" customHeight="1" x14ac:dyDescent="0.3">
      <c r="A492" s="356" t="s">
        <v>856</v>
      </c>
      <c r="B492" s="356"/>
      <c r="C492" s="356"/>
      <c r="D492" s="356"/>
      <c r="E492" s="356"/>
      <c r="F492" s="356"/>
    </row>
    <row r="493" spans="1:6" ht="85.5" customHeight="1" x14ac:dyDescent="0.3">
      <c r="A493" s="355" t="s">
        <v>857</v>
      </c>
      <c r="B493" s="355"/>
      <c r="C493" s="355"/>
      <c r="D493" s="355"/>
      <c r="E493" s="355"/>
      <c r="F493" s="355"/>
    </row>
    <row r="494" spans="1:6" ht="21.75" customHeight="1" x14ac:dyDescent="0.3">
      <c r="A494" s="355" t="s">
        <v>858</v>
      </c>
      <c r="B494" s="355"/>
      <c r="C494" s="355"/>
      <c r="D494" s="355"/>
      <c r="E494" s="355"/>
      <c r="F494" s="355"/>
    </row>
    <row r="495" spans="1:6" ht="21.75" customHeight="1" x14ac:dyDescent="0.3">
      <c r="A495" s="355" t="s">
        <v>859</v>
      </c>
      <c r="B495" s="355"/>
      <c r="C495" s="355"/>
      <c r="D495" s="355"/>
      <c r="E495" s="355"/>
      <c r="F495" s="355"/>
    </row>
    <row r="496" spans="1:6" ht="37.5" customHeight="1" x14ac:dyDescent="0.3">
      <c r="A496" s="355" t="s">
        <v>860</v>
      </c>
      <c r="B496" s="355"/>
      <c r="C496" s="355"/>
      <c r="D496" s="355"/>
      <c r="E496" s="355"/>
      <c r="F496" s="355"/>
    </row>
    <row r="497" spans="1:6" ht="21.75" customHeight="1" x14ac:dyDescent="0.3">
      <c r="A497" s="356" t="s">
        <v>861</v>
      </c>
      <c r="B497" s="356"/>
      <c r="C497" s="356"/>
      <c r="D497" s="356"/>
      <c r="E497" s="356"/>
      <c r="F497" s="356"/>
    </row>
    <row r="498" spans="1:6" ht="37.5" customHeight="1" x14ac:dyDescent="0.3">
      <c r="A498" s="355" t="s">
        <v>862</v>
      </c>
      <c r="B498" s="355"/>
      <c r="C498" s="355"/>
      <c r="D498" s="355"/>
      <c r="E498" s="355"/>
      <c r="F498" s="355"/>
    </row>
    <row r="499" spans="1:6" ht="21.75" customHeight="1" x14ac:dyDescent="0.3">
      <c r="A499" s="355" t="s">
        <v>863</v>
      </c>
      <c r="B499" s="355"/>
      <c r="C499" s="355"/>
      <c r="D499" s="355"/>
      <c r="E499" s="355"/>
      <c r="F499" s="355"/>
    </row>
    <row r="500" spans="1:6" ht="21.75" customHeight="1" x14ac:dyDescent="0.3">
      <c r="A500" s="356" t="s">
        <v>864</v>
      </c>
      <c r="B500" s="356"/>
      <c r="C500" s="356"/>
      <c r="D500" s="356"/>
      <c r="E500" s="356"/>
      <c r="F500" s="356"/>
    </row>
    <row r="501" spans="1:6" ht="21.75" customHeight="1" x14ac:dyDescent="0.3">
      <c r="A501" s="355" t="s">
        <v>865</v>
      </c>
      <c r="B501" s="355"/>
      <c r="C501" s="355"/>
      <c r="D501" s="355"/>
      <c r="E501" s="355"/>
      <c r="F501" s="355"/>
    </row>
    <row r="502" spans="1:6" ht="21.75" customHeight="1" x14ac:dyDescent="0.3">
      <c r="A502" s="355" t="s">
        <v>866</v>
      </c>
      <c r="B502" s="355"/>
      <c r="C502" s="355"/>
      <c r="D502" s="355"/>
      <c r="E502" s="355"/>
      <c r="F502" s="355"/>
    </row>
    <row r="503" spans="1:6" ht="21.75" customHeight="1" x14ac:dyDescent="0.3">
      <c r="A503" s="355" t="s">
        <v>867</v>
      </c>
      <c r="B503" s="355"/>
      <c r="C503" s="355"/>
      <c r="D503" s="355"/>
      <c r="E503" s="355"/>
      <c r="F503" s="355"/>
    </row>
    <row r="504" spans="1:6" ht="37.5" customHeight="1" x14ac:dyDescent="0.3">
      <c r="A504" s="355" t="s">
        <v>868</v>
      </c>
      <c r="B504" s="355"/>
      <c r="C504" s="355"/>
      <c r="D504" s="355"/>
      <c r="E504" s="355"/>
      <c r="F504" s="355"/>
    </row>
    <row r="505" spans="1:6" ht="37.5" customHeight="1" x14ac:dyDescent="0.3">
      <c r="A505" s="355" t="s">
        <v>869</v>
      </c>
      <c r="B505" s="355"/>
      <c r="C505" s="355"/>
      <c r="D505" s="355"/>
      <c r="E505" s="355"/>
      <c r="F505" s="355"/>
    </row>
    <row r="506" spans="1:6" ht="54" customHeight="1" x14ac:dyDescent="0.3">
      <c r="A506" s="355" t="s">
        <v>870</v>
      </c>
      <c r="B506" s="355"/>
      <c r="C506" s="355"/>
      <c r="D506" s="355"/>
      <c r="E506" s="355"/>
      <c r="F506" s="355"/>
    </row>
    <row r="507" spans="1:6" ht="69.75" customHeight="1" x14ac:dyDescent="0.3">
      <c r="A507" s="355" t="s">
        <v>871</v>
      </c>
      <c r="B507" s="355"/>
      <c r="C507" s="355"/>
      <c r="D507" s="355"/>
      <c r="E507" s="355"/>
      <c r="F507" s="355"/>
    </row>
    <row r="508" spans="1:6" ht="54" customHeight="1" x14ac:dyDescent="0.3">
      <c r="A508" s="355" t="s">
        <v>872</v>
      </c>
      <c r="B508" s="355"/>
      <c r="C508" s="355"/>
      <c r="D508" s="355"/>
      <c r="E508" s="355"/>
      <c r="F508" s="355"/>
    </row>
    <row r="509" spans="1:6" ht="21.75" customHeight="1" x14ac:dyDescent="0.3">
      <c r="A509" s="355" t="s">
        <v>873</v>
      </c>
      <c r="B509" s="355"/>
      <c r="C509" s="355"/>
      <c r="D509" s="355"/>
      <c r="E509" s="355"/>
      <c r="F509" s="355"/>
    </row>
    <row r="510" spans="1:6" ht="37.5" customHeight="1" x14ac:dyDescent="0.3">
      <c r="A510" s="355" t="s">
        <v>874</v>
      </c>
      <c r="B510" s="355"/>
      <c r="C510" s="355"/>
      <c r="D510" s="355"/>
      <c r="E510" s="355"/>
      <c r="F510" s="355"/>
    </row>
    <row r="511" spans="1:6" ht="37.5" customHeight="1" x14ac:dyDescent="0.3">
      <c r="A511" s="355" t="s">
        <v>875</v>
      </c>
      <c r="B511" s="355"/>
      <c r="C511" s="355"/>
      <c r="D511" s="355"/>
      <c r="E511" s="355"/>
      <c r="F511" s="355"/>
    </row>
    <row r="512" spans="1:6" ht="37.5" customHeight="1" x14ac:dyDescent="0.3">
      <c r="A512" s="355" t="s">
        <v>876</v>
      </c>
      <c r="B512" s="355"/>
      <c r="C512" s="355"/>
      <c r="D512" s="355"/>
      <c r="E512" s="355"/>
      <c r="F512" s="355"/>
    </row>
    <row r="513" spans="1:6" ht="37.5" customHeight="1" x14ac:dyDescent="0.3">
      <c r="A513" s="355" t="s">
        <v>877</v>
      </c>
      <c r="B513" s="355"/>
      <c r="C513" s="355"/>
      <c r="D513" s="355"/>
      <c r="E513" s="355"/>
      <c r="F513" s="355"/>
    </row>
    <row r="514" spans="1:6" ht="37.5" customHeight="1" x14ac:dyDescent="0.3">
      <c r="A514" s="355" t="s">
        <v>878</v>
      </c>
      <c r="B514" s="355"/>
      <c r="C514" s="355"/>
      <c r="D514" s="355"/>
      <c r="E514" s="355"/>
      <c r="F514" s="355"/>
    </row>
    <row r="515" spans="1:6" ht="37.5" customHeight="1" x14ac:dyDescent="0.3">
      <c r="A515" s="355" t="s">
        <v>879</v>
      </c>
      <c r="B515" s="355"/>
      <c r="C515" s="355"/>
      <c r="D515" s="355"/>
      <c r="E515" s="355"/>
      <c r="F515" s="355"/>
    </row>
    <row r="516" spans="1:6" ht="21.75" customHeight="1" x14ac:dyDescent="0.3">
      <c r="A516" s="355" t="s">
        <v>880</v>
      </c>
      <c r="B516" s="355"/>
      <c r="C516" s="355"/>
      <c r="D516" s="355"/>
      <c r="E516" s="355"/>
      <c r="F516" s="355"/>
    </row>
    <row r="517" spans="1:6" ht="21.75" customHeight="1" x14ac:dyDescent="0.3">
      <c r="A517" s="355" t="s">
        <v>881</v>
      </c>
      <c r="B517" s="355"/>
      <c r="C517" s="355"/>
      <c r="D517" s="355"/>
      <c r="E517" s="355"/>
      <c r="F517" s="355"/>
    </row>
    <row r="518" spans="1:6" ht="69.75" customHeight="1" x14ac:dyDescent="0.3">
      <c r="A518" s="355" t="s">
        <v>882</v>
      </c>
      <c r="B518" s="355"/>
      <c r="C518" s="355"/>
      <c r="D518" s="355"/>
      <c r="E518" s="355"/>
      <c r="F518" s="355"/>
    </row>
    <row r="519" spans="1:6" ht="21.75" customHeight="1" x14ac:dyDescent="0.3">
      <c r="A519" s="355" t="s">
        <v>883</v>
      </c>
      <c r="B519" s="355"/>
      <c r="C519" s="355"/>
      <c r="D519" s="355"/>
      <c r="E519" s="355"/>
      <c r="F519" s="355"/>
    </row>
    <row r="520" spans="1:6" ht="37.5" customHeight="1" x14ac:dyDescent="0.3">
      <c r="A520" s="355" t="s">
        <v>884</v>
      </c>
      <c r="B520" s="355"/>
      <c r="C520" s="355"/>
      <c r="D520" s="355"/>
      <c r="E520" s="355"/>
      <c r="F520" s="355"/>
    </row>
    <row r="521" spans="1:6" ht="54" customHeight="1" x14ac:dyDescent="0.3">
      <c r="A521" s="355" t="s">
        <v>885</v>
      </c>
      <c r="B521" s="355"/>
      <c r="C521" s="355"/>
      <c r="D521" s="355"/>
      <c r="E521" s="355"/>
      <c r="F521" s="355"/>
    </row>
    <row r="522" spans="1:6" ht="54" customHeight="1" x14ac:dyDescent="0.3">
      <c r="A522" s="355" t="s">
        <v>886</v>
      </c>
      <c r="B522" s="355"/>
      <c r="C522" s="355"/>
      <c r="D522" s="355"/>
      <c r="E522" s="355"/>
      <c r="F522" s="355"/>
    </row>
    <row r="523" spans="1:6" ht="54" customHeight="1" x14ac:dyDescent="0.3">
      <c r="A523" s="355" t="s">
        <v>887</v>
      </c>
      <c r="B523" s="355"/>
      <c r="C523" s="355"/>
      <c r="D523" s="355"/>
      <c r="E523" s="355"/>
      <c r="F523" s="355"/>
    </row>
    <row r="524" spans="1:6" ht="69.75" customHeight="1" x14ac:dyDescent="0.3">
      <c r="A524" s="355" t="s">
        <v>888</v>
      </c>
      <c r="B524" s="355"/>
      <c r="C524" s="355"/>
      <c r="D524" s="355"/>
      <c r="E524" s="355"/>
      <c r="F524" s="355"/>
    </row>
    <row r="525" spans="1:6" ht="133.5" customHeight="1" x14ac:dyDescent="0.3">
      <c r="A525" s="355" t="s">
        <v>889</v>
      </c>
      <c r="B525" s="355"/>
      <c r="C525" s="355"/>
      <c r="D525" s="355"/>
      <c r="E525" s="355"/>
      <c r="F525" s="355"/>
    </row>
    <row r="526" spans="1:6" ht="85.5" customHeight="1" x14ac:dyDescent="0.3">
      <c r="A526" s="355" t="s">
        <v>890</v>
      </c>
      <c r="B526" s="355"/>
      <c r="C526" s="355"/>
      <c r="D526" s="355"/>
      <c r="E526" s="355"/>
      <c r="F526" s="355"/>
    </row>
    <row r="527" spans="1:6" ht="69.75" customHeight="1" x14ac:dyDescent="0.3">
      <c r="A527" s="355" t="s">
        <v>891</v>
      </c>
      <c r="B527" s="355"/>
      <c r="C527" s="355"/>
      <c r="D527" s="355"/>
      <c r="E527" s="355"/>
      <c r="F527" s="355"/>
    </row>
    <row r="528" spans="1:6" ht="37.5" customHeight="1" x14ac:dyDescent="0.3">
      <c r="A528" s="355" t="s">
        <v>892</v>
      </c>
      <c r="B528" s="355"/>
      <c r="C528" s="355"/>
      <c r="D528" s="355"/>
      <c r="E528" s="355"/>
      <c r="F528" s="355"/>
    </row>
    <row r="529" spans="1:6" ht="21.75" customHeight="1" x14ac:dyDescent="0.3">
      <c r="A529" s="355" t="s">
        <v>893</v>
      </c>
      <c r="B529" s="355"/>
      <c r="C529" s="355"/>
      <c r="D529" s="355"/>
      <c r="E529" s="355"/>
      <c r="F529" s="355"/>
    </row>
    <row r="530" spans="1:6" ht="54" customHeight="1" x14ac:dyDescent="0.3">
      <c r="A530" s="355" t="s">
        <v>894</v>
      </c>
      <c r="B530" s="355"/>
      <c r="C530" s="355"/>
      <c r="D530" s="355"/>
      <c r="E530" s="355"/>
      <c r="F530" s="355"/>
    </row>
    <row r="531" spans="1:6" ht="54" customHeight="1" x14ac:dyDescent="0.3">
      <c r="A531" s="355" t="s">
        <v>895</v>
      </c>
      <c r="B531" s="355"/>
      <c r="C531" s="355"/>
      <c r="D531" s="355"/>
      <c r="E531" s="355"/>
      <c r="F531" s="355"/>
    </row>
    <row r="532" spans="1:6" ht="54" customHeight="1" x14ac:dyDescent="0.3">
      <c r="A532" s="355" t="s">
        <v>896</v>
      </c>
      <c r="B532" s="355"/>
      <c r="C532" s="355"/>
      <c r="D532" s="355"/>
      <c r="E532" s="355"/>
      <c r="F532" s="355"/>
    </row>
    <row r="533" spans="1:6" ht="102" customHeight="1" x14ac:dyDescent="0.3">
      <c r="A533" s="355" t="s">
        <v>897</v>
      </c>
      <c r="B533" s="355"/>
      <c r="C533" s="355"/>
      <c r="D533" s="355"/>
      <c r="E533" s="355"/>
      <c r="F533" s="355"/>
    </row>
    <row r="534" spans="1:6" ht="54" customHeight="1" x14ac:dyDescent="0.3">
      <c r="A534" s="355" t="s">
        <v>898</v>
      </c>
      <c r="B534" s="355"/>
      <c r="C534" s="355"/>
      <c r="D534" s="355"/>
      <c r="E534" s="355"/>
      <c r="F534" s="355"/>
    </row>
    <row r="535" spans="1:6" ht="85.5" customHeight="1" x14ac:dyDescent="0.3">
      <c r="A535" s="355" t="s">
        <v>899</v>
      </c>
      <c r="B535" s="355"/>
      <c r="C535" s="355"/>
      <c r="D535" s="355"/>
      <c r="E535" s="355"/>
      <c r="F535" s="355"/>
    </row>
    <row r="536" spans="1:6" ht="117.75" customHeight="1" x14ac:dyDescent="0.3">
      <c r="A536" s="355" t="s">
        <v>900</v>
      </c>
      <c r="B536" s="355"/>
      <c r="C536" s="355"/>
      <c r="D536" s="355"/>
      <c r="E536" s="355"/>
      <c r="F536" s="355"/>
    </row>
    <row r="537" spans="1:6" ht="21.75" customHeight="1" x14ac:dyDescent="0.3">
      <c r="A537" s="356" t="s">
        <v>901</v>
      </c>
      <c r="B537" s="356"/>
      <c r="C537" s="356"/>
      <c r="D537" s="356"/>
      <c r="E537" s="356"/>
      <c r="F537" s="356"/>
    </row>
    <row r="538" spans="1:6" ht="54" customHeight="1" x14ac:dyDescent="0.3">
      <c r="A538" s="355" t="s">
        <v>902</v>
      </c>
      <c r="B538" s="355"/>
      <c r="C538" s="355"/>
      <c r="D538" s="355"/>
      <c r="E538" s="355"/>
      <c r="F538" s="355"/>
    </row>
    <row r="539" spans="1:6" ht="54" customHeight="1" x14ac:dyDescent="0.3">
      <c r="A539" s="355" t="s">
        <v>903</v>
      </c>
      <c r="B539" s="355"/>
      <c r="C539" s="355"/>
      <c r="D539" s="355"/>
      <c r="E539" s="355"/>
      <c r="F539" s="355"/>
    </row>
    <row r="540" spans="1:6" ht="69.75" customHeight="1" x14ac:dyDescent="0.3">
      <c r="A540" s="355" t="s">
        <v>904</v>
      </c>
      <c r="B540" s="355"/>
      <c r="C540" s="355"/>
      <c r="D540" s="355"/>
      <c r="E540" s="355"/>
      <c r="F540" s="355"/>
    </row>
    <row r="541" spans="1:6" ht="37.5" customHeight="1" x14ac:dyDescent="0.3">
      <c r="A541" s="355" t="s">
        <v>905</v>
      </c>
      <c r="B541" s="355"/>
      <c r="C541" s="355"/>
      <c r="D541" s="355"/>
      <c r="E541" s="355"/>
      <c r="F541" s="355"/>
    </row>
    <row r="542" spans="1:6" ht="21.75" customHeight="1" x14ac:dyDescent="0.3">
      <c r="A542" s="355" t="s">
        <v>906</v>
      </c>
      <c r="B542" s="355"/>
      <c r="C542" s="355"/>
      <c r="D542" s="355"/>
      <c r="E542" s="355"/>
      <c r="F542" s="355"/>
    </row>
    <row r="543" spans="1:6" ht="21.75" customHeight="1" x14ac:dyDescent="0.3">
      <c r="A543" s="355" t="s">
        <v>907</v>
      </c>
      <c r="B543" s="355"/>
      <c r="C543" s="355"/>
      <c r="D543" s="355"/>
      <c r="E543" s="355"/>
      <c r="F543" s="355"/>
    </row>
    <row r="544" spans="1:6" ht="21.75" customHeight="1" x14ac:dyDescent="0.3">
      <c r="A544" s="355" t="s">
        <v>908</v>
      </c>
      <c r="B544" s="355"/>
      <c r="C544" s="355"/>
      <c r="D544" s="355"/>
      <c r="E544" s="355"/>
      <c r="F544" s="355"/>
    </row>
    <row r="545" spans="1:6" ht="85.5" customHeight="1" x14ac:dyDescent="0.3">
      <c r="A545" s="355" t="s">
        <v>909</v>
      </c>
      <c r="B545" s="355"/>
      <c r="C545" s="355"/>
      <c r="D545" s="355"/>
      <c r="E545" s="355"/>
      <c r="F545" s="355"/>
    </row>
    <row r="546" spans="1:6" ht="37.5" customHeight="1" x14ac:dyDescent="0.3">
      <c r="A546" s="355" t="s">
        <v>910</v>
      </c>
      <c r="B546" s="355"/>
      <c r="C546" s="355"/>
      <c r="D546" s="355"/>
      <c r="E546" s="355"/>
      <c r="F546" s="355"/>
    </row>
    <row r="547" spans="1:6" ht="37.5" customHeight="1" x14ac:dyDescent="0.3">
      <c r="A547" s="355" t="s">
        <v>911</v>
      </c>
      <c r="B547" s="355"/>
      <c r="C547" s="355"/>
      <c r="D547" s="355"/>
      <c r="E547" s="355"/>
      <c r="F547" s="355"/>
    </row>
    <row r="548" spans="1:6" ht="37.5" customHeight="1" x14ac:dyDescent="0.3">
      <c r="A548" s="355" t="s">
        <v>912</v>
      </c>
      <c r="B548" s="355"/>
      <c r="C548" s="355"/>
      <c r="D548" s="355"/>
      <c r="E548" s="355"/>
      <c r="F548" s="355"/>
    </row>
    <row r="549" spans="1:6" ht="37.5" customHeight="1" x14ac:dyDescent="0.3">
      <c r="A549" s="355" t="s">
        <v>913</v>
      </c>
      <c r="B549" s="355"/>
      <c r="C549" s="355"/>
      <c r="D549" s="355"/>
      <c r="E549" s="355"/>
      <c r="F549" s="355"/>
    </row>
    <row r="550" spans="1:6" ht="37.5" customHeight="1" x14ac:dyDescent="0.3">
      <c r="A550" s="355" t="s">
        <v>914</v>
      </c>
      <c r="B550" s="355"/>
      <c r="C550" s="355"/>
      <c r="D550" s="355"/>
      <c r="E550" s="355"/>
      <c r="F550" s="355"/>
    </row>
    <row r="551" spans="1:6" ht="37.5" customHeight="1" x14ac:dyDescent="0.3">
      <c r="A551" s="355" t="s">
        <v>915</v>
      </c>
      <c r="B551" s="355"/>
      <c r="C551" s="355"/>
      <c r="D551" s="355"/>
      <c r="E551" s="355"/>
      <c r="F551" s="355"/>
    </row>
    <row r="552" spans="1:6" ht="69.75" customHeight="1" x14ac:dyDescent="0.3">
      <c r="A552" s="355" t="s">
        <v>916</v>
      </c>
      <c r="B552" s="355"/>
      <c r="C552" s="355"/>
      <c r="D552" s="355"/>
      <c r="E552" s="355"/>
      <c r="F552" s="355"/>
    </row>
    <row r="553" spans="1:6" ht="69.75" customHeight="1" x14ac:dyDescent="0.3">
      <c r="A553" s="355" t="s">
        <v>917</v>
      </c>
      <c r="B553" s="355"/>
      <c r="C553" s="355"/>
      <c r="D553" s="355"/>
      <c r="E553" s="355"/>
      <c r="F553" s="355"/>
    </row>
    <row r="554" spans="1:6" ht="54" customHeight="1" x14ac:dyDescent="0.3">
      <c r="A554" s="355" t="s">
        <v>918</v>
      </c>
      <c r="B554" s="355"/>
      <c r="C554" s="355"/>
      <c r="D554" s="355"/>
      <c r="E554" s="355"/>
      <c r="F554" s="355"/>
    </row>
    <row r="555" spans="1:6" ht="85.5" customHeight="1" x14ac:dyDescent="0.3">
      <c r="A555" s="355" t="s">
        <v>919</v>
      </c>
      <c r="B555" s="355"/>
      <c r="C555" s="355"/>
      <c r="D555" s="355"/>
      <c r="E555" s="355"/>
      <c r="F555" s="355"/>
    </row>
    <row r="556" spans="1:6" ht="133.5" customHeight="1" x14ac:dyDescent="0.3">
      <c r="A556" s="355" t="s">
        <v>920</v>
      </c>
      <c r="B556" s="355"/>
      <c r="C556" s="355"/>
      <c r="D556" s="355"/>
      <c r="E556" s="355"/>
      <c r="F556" s="355"/>
    </row>
    <row r="557" spans="1:6" ht="21.75" customHeight="1" x14ac:dyDescent="0.3">
      <c r="A557" s="356" t="s">
        <v>921</v>
      </c>
      <c r="B557" s="356"/>
      <c r="C557" s="356"/>
      <c r="D557" s="356"/>
      <c r="E557" s="356"/>
      <c r="F557" s="356"/>
    </row>
    <row r="558" spans="1:6" ht="37.5" customHeight="1" x14ac:dyDescent="0.3">
      <c r="A558" s="355" t="s">
        <v>922</v>
      </c>
      <c r="B558" s="355"/>
      <c r="C558" s="355"/>
      <c r="D558" s="355"/>
      <c r="E558" s="355"/>
      <c r="F558" s="355"/>
    </row>
    <row r="559" spans="1:6" ht="54" customHeight="1" x14ac:dyDescent="0.3">
      <c r="A559" s="355" t="s">
        <v>923</v>
      </c>
      <c r="B559" s="355"/>
      <c r="C559" s="355"/>
      <c r="D559" s="355"/>
      <c r="E559" s="355"/>
      <c r="F559" s="355"/>
    </row>
    <row r="560" spans="1:6" ht="54" customHeight="1" x14ac:dyDescent="0.3">
      <c r="A560" s="355" t="s">
        <v>924</v>
      </c>
      <c r="B560" s="355"/>
      <c r="C560" s="355"/>
      <c r="D560" s="355"/>
      <c r="E560" s="355"/>
      <c r="F560" s="355"/>
    </row>
    <row r="561" spans="1:6" ht="21.75" customHeight="1" x14ac:dyDescent="0.3">
      <c r="A561" s="356" t="s">
        <v>925</v>
      </c>
      <c r="B561" s="356"/>
      <c r="C561" s="356"/>
      <c r="D561" s="356"/>
      <c r="E561" s="356"/>
      <c r="F561" s="356"/>
    </row>
    <row r="562" spans="1:6" ht="54" customHeight="1" x14ac:dyDescent="0.3">
      <c r="A562" s="355" t="s">
        <v>926</v>
      </c>
      <c r="B562" s="355"/>
      <c r="C562" s="355"/>
      <c r="D562" s="355"/>
      <c r="E562" s="355"/>
      <c r="F562" s="355"/>
    </row>
    <row r="563" spans="1:6" ht="37.5" customHeight="1" x14ac:dyDescent="0.3">
      <c r="A563" s="355" t="s">
        <v>927</v>
      </c>
      <c r="B563" s="355"/>
      <c r="C563" s="355"/>
      <c r="D563" s="355"/>
      <c r="E563" s="355"/>
      <c r="F563" s="355"/>
    </row>
    <row r="564" spans="1:6" ht="37.5" customHeight="1" x14ac:dyDescent="0.3">
      <c r="A564" s="355" t="s">
        <v>928</v>
      </c>
      <c r="B564" s="355"/>
      <c r="C564" s="355"/>
      <c r="D564" s="355"/>
      <c r="E564" s="355"/>
      <c r="F564" s="355"/>
    </row>
    <row r="565" spans="1:6" ht="21.75" customHeight="1" x14ac:dyDescent="0.3">
      <c r="A565" s="356" t="s">
        <v>929</v>
      </c>
      <c r="B565" s="356"/>
      <c r="C565" s="356"/>
      <c r="D565" s="356"/>
      <c r="E565" s="356"/>
      <c r="F565" s="356"/>
    </row>
    <row r="566" spans="1:6" ht="69.75" customHeight="1" x14ac:dyDescent="0.3">
      <c r="A566" s="355" t="s">
        <v>930</v>
      </c>
      <c r="B566" s="355"/>
      <c r="C566" s="355"/>
      <c r="D566" s="355"/>
      <c r="E566" s="355"/>
      <c r="F566" s="355"/>
    </row>
    <row r="567" spans="1:6" ht="54" customHeight="1" x14ac:dyDescent="0.3">
      <c r="A567" s="355" t="s">
        <v>931</v>
      </c>
      <c r="B567" s="355"/>
      <c r="C567" s="355"/>
      <c r="D567" s="355"/>
      <c r="E567" s="355"/>
      <c r="F567" s="355"/>
    </row>
    <row r="568" spans="1:6" ht="21.75" customHeight="1" x14ac:dyDescent="0.3">
      <c r="A568" s="355" t="s">
        <v>932</v>
      </c>
      <c r="B568" s="355"/>
      <c r="C568" s="355"/>
      <c r="D568" s="355"/>
      <c r="E568" s="355"/>
      <c r="F568" s="355"/>
    </row>
    <row r="569" spans="1:6" ht="37.5" customHeight="1" x14ac:dyDescent="0.3">
      <c r="A569" s="355" t="s">
        <v>933</v>
      </c>
      <c r="B569" s="355"/>
      <c r="C569" s="355"/>
      <c r="D569" s="355"/>
      <c r="E569" s="355"/>
      <c r="F569" s="355"/>
    </row>
    <row r="570" spans="1:6" ht="21.75" customHeight="1" x14ac:dyDescent="0.3">
      <c r="A570" s="356" t="s">
        <v>473</v>
      </c>
      <c r="B570" s="356"/>
      <c r="C570" s="356"/>
      <c r="D570" s="356"/>
      <c r="E570" s="356"/>
      <c r="F570" s="356"/>
    </row>
    <row r="571" spans="1:6" ht="21.75" customHeight="1" x14ac:dyDescent="0.3">
      <c r="A571" s="355" t="s">
        <v>934</v>
      </c>
      <c r="B571" s="355"/>
      <c r="C571" s="355"/>
      <c r="D571" s="355"/>
      <c r="E571" s="355"/>
      <c r="F571" s="355"/>
    </row>
    <row r="572" spans="1:6" ht="21.75" customHeight="1" x14ac:dyDescent="0.3">
      <c r="A572" s="266" t="s">
        <v>1</v>
      </c>
      <c r="B572" s="361" t="s">
        <v>935</v>
      </c>
      <c r="C572" s="361"/>
      <c r="D572" s="361" t="s">
        <v>936</v>
      </c>
      <c r="E572" s="361"/>
      <c r="F572" s="361"/>
    </row>
    <row r="573" spans="1:6" ht="37.5" customHeight="1" x14ac:dyDescent="0.3">
      <c r="A573" s="267">
        <v>1</v>
      </c>
      <c r="B573" s="365" t="s">
        <v>937</v>
      </c>
      <c r="C573" s="365"/>
      <c r="D573" s="365" t="s">
        <v>938</v>
      </c>
      <c r="E573" s="365"/>
      <c r="F573" s="365"/>
    </row>
    <row r="574" spans="1:6" ht="21.75" customHeight="1" x14ac:dyDescent="0.3">
      <c r="A574" s="267">
        <v>2</v>
      </c>
      <c r="B574" s="365" t="s">
        <v>939</v>
      </c>
      <c r="C574" s="365"/>
      <c r="D574" s="365" t="s">
        <v>940</v>
      </c>
      <c r="E574" s="365"/>
      <c r="F574" s="365"/>
    </row>
    <row r="575" spans="1:6" ht="37.5" customHeight="1" x14ac:dyDescent="0.3">
      <c r="A575" s="267">
        <v>3</v>
      </c>
      <c r="B575" s="365" t="s">
        <v>941</v>
      </c>
      <c r="C575" s="365"/>
      <c r="D575" s="365" t="s">
        <v>942</v>
      </c>
      <c r="E575" s="365"/>
      <c r="F575" s="365"/>
    </row>
    <row r="576" spans="1:6" ht="37.5" customHeight="1" x14ac:dyDescent="0.3">
      <c r="A576" s="267">
        <v>4</v>
      </c>
      <c r="B576" s="365" t="s">
        <v>943</v>
      </c>
      <c r="C576" s="365"/>
      <c r="D576" s="365" t="s">
        <v>944</v>
      </c>
      <c r="E576" s="365"/>
      <c r="F576" s="365"/>
    </row>
    <row r="577" spans="1:6" ht="21.75" customHeight="1" x14ac:dyDescent="0.3">
      <c r="A577" s="267">
        <v>5</v>
      </c>
      <c r="B577" s="365" t="s">
        <v>945</v>
      </c>
      <c r="C577" s="365"/>
      <c r="D577" s="365" t="s">
        <v>946</v>
      </c>
      <c r="E577" s="365"/>
      <c r="F577" s="365"/>
    </row>
    <row r="578" spans="1:6" ht="21.75" customHeight="1" x14ac:dyDescent="0.3">
      <c r="A578" s="267">
        <v>6</v>
      </c>
      <c r="B578" s="365" t="s">
        <v>947</v>
      </c>
      <c r="C578" s="365"/>
      <c r="D578" s="365" t="s">
        <v>948</v>
      </c>
      <c r="E578" s="365"/>
      <c r="F578" s="365"/>
    </row>
    <row r="579" spans="1:6" ht="21.75" customHeight="1" x14ac:dyDescent="0.3">
      <c r="A579" s="267">
        <v>7</v>
      </c>
      <c r="B579" s="365" t="s">
        <v>949</v>
      </c>
      <c r="C579" s="365"/>
      <c r="D579" s="365" t="s">
        <v>950</v>
      </c>
      <c r="E579" s="365"/>
      <c r="F579" s="365"/>
    </row>
    <row r="580" spans="1:6" ht="21.75" customHeight="1" x14ac:dyDescent="0.3">
      <c r="A580" s="355" t="s">
        <v>951</v>
      </c>
      <c r="B580" s="355"/>
      <c r="C580" s="355"/>
      <c r="D580" s="355"/>
      <c r="E580" s="355"/>
      <c r="F580" s="355"/>
    </row>
    <row r="581" spans="1:6" ht="21.75" customHeight="1" x14ac:dyDescent="0.3">
      <c r="A581" s="355" t="s">
        <v>952</v>
      </c>
      <c r="B581" s="355"/>
      <c r="C581" s="355"/>
      <c r="D581" s="355"/>
      <c r="E581" s="355"/>
      <c r="F581" s="355"/>
    </row>
    <row r="582" spans="1:6" ht="198" customHeight="1" x14ac:dyDescent="0.3">
      <c r="A582" s="355" t="s">
        <v>953</v>
      </c>
      <c r="B582" s="355"/>
      <c r="C582" s="355"/>
      <c r="D582" s="355"/>
      <c r="E582" s="355"/>
      <c r="F582" s="355"/>
    </row>
    <row r="583" spans="1:6" ht="37.5" customHeight="1" x14ac:dyDescent="0.3">
      <c r="A583" s="355" t="s">
        <v>954</v>
      </c>
      <c r="B583" s="355"/>
      <c r="C583" s="355"/>
      <c r="D583" s="355"/>
      <c r="E583" s="355"/>
      <c r="F583" s="355"/>
    </row>
    <row r="584" spans="1:6" ht="37.5" customHeight="1" x14ac:dyDescent="0.3">
      <c r="A584" s="355" t="s">
        <v>955</v>
      </c>
      <c r="B584" s="355"/>
      <c r="C584" s="355"/>
      <c r="D584" s="355"/>
      <c r="E584" s="355"/>
      <c r="F584" s="355"/>
    </row>
    <row r="585" spans="1:6" ht="69.75" customHeight="1" x14ac:dyDescent="0.3">
      <c r="A585" s="355" t="s">
        <v>956</v>
      </c>
      <c r="B585" s="355"/>
      <c r="C585" s="355"/>
      <c r="D585" s="355"/>
      <c r="E585" s="355"/>
      <c r="F585" s="355"/>
    </row>
    <row r="586" spans="1:6" ht="85.5" customHeight="1" x14ac:dyDescent="0.3">
      <c r="A586" s="355" t="s">
        <v>957</v>
      </c>
      <c r="B586" s="355"/>
      <c r="C586" s="355"/>
      <c r="D586" s="355"/>
      <c r="E586" s="355"/>
      <c r="F586" s="355"/>
    </row>
    <row r="587" spans="1:6" ht="21.75" customHeight="1" x14ac:dyDescent="0.3">
      <c r="A587" s="355" t="s">
        <v>958</v>
      </c>
      <c r="B587" s="355"/>
      <c r="C587" s="355"/>
      <c r="D587" s="355"/>
      <c r="E587" s="355"/>
      <c r="F587" s="355"/>
    </row>
    <row r="588" spans="1:6" ht="21.75" customHeight="1" x14ac:dyDescent="0.3">
      <c r="A588" s="355" t="s">
        <v>959</v>
      </c>
      <c r="B588" s="355"/>
      <c r="C588" s="355"/>
      <c r="D588" s="355"/>
      <c r="E588" s="355"/>
      <c r="F588" s="355"/>
    </row>
    <row r="589" spans="1:6" ht="21.75" customHeight="1" x14ac:dyDescent="0.3">
      <c r="A589" s="355" t="s">
        <v>960</v>
      </c>
      <c r="B589" s="355"/>
      <c r="C589" s="355"/>
      <c r="D589" s="355"/>
      <c r="E589" s="355"/>
      <c r="F589" s="355"/>
    </row>
    <row r="590" spans="1:6" ht="37.5" customHeight="1" x14ac:dyDescent="0.3">
      <c r="A590" s="355" t="s">
        <v>961</v>
      </c>
      <c r="B590" s="355"/>
      <c r="C590" s="355"/>
      <c r="D590" s="355"/>
      <c r="E590" s="355"/>
      <c r="F590" s="355"/>
    </row>
    <row r="591" spans="1:6" ht="54" customHeight="1" x14ac:dyDescent="0.3">
      <c r="A591" s="355" t="s">
        <v>962</v>
      </c>
      <c r="B591" s="355"/>
      <c r="C591" s="355"/>
      <c r="D591" s="355"/>
      <c r="E591" s="355"/>
      <c r="F591" s="355"/>
    </row>
    <row r="592" spans="1:6" ht="21.75" customHeight="1" x14ac:dyDescent="0.3">
      <c r="A592" s="356" t="s">
        <v>963</v>
      </c>
      <c r="B592" s="356"/>
      <c r="C592" s="356"/>
      <c r="D592" s="356"/>
      <c r="E592" s="356"/>
      <c r="F592" s="356"/>
    </row>
    <row r="593" spans="1:6" ht="21.75" customHeight="1" x14ac:dyDescent="0.3">
      <c r="A593" s="355" t="s">
        <v>964</v>
      </c>
      <c r="B593" s="355"/>
      <c r="C593" s="355"/>
      <c r="D593" s="355"/>
      <c r="E593" s="355"/>
      <c r="F593" s="355"/>
    </row>
    <row r="594" spans="1:6" ht="37.5" customHeight="1" x14ac:dyDescent="0.3">
      <c r="A594" s="355" t="s">
        <v>965</v>
      </c>
      <c r="B594" s="355"/>
      <c r="C594" s="355"/>
      <c r="D594" s="355"/>
      <c r="E594" s="355"/>
      <c r="F594" s="355"/>
    </row>
    <row r="595" spans="1:6" ht="54" customHeight="1" x14ac:dyDescent="0.3">
      <c r="A595" s="355" t="s">
        <v>966</v>
      </c>
      <c r="B595" s="355"/>
      <c r="C595" s="355"/>
      <c r="D595" s="355"/>
      <c r="E595" s="355"/>
      <c r="F595" s="355"/>
    </row>
    <row r="596" spans="1:6" ht="21.75" customHeight="1" x14ac:dyDescent="0.3">
      <c r="A596" s="355" t="s">
        <v>967</v>
      </c>
      <c r="B596" s="355"/>
      <c r="C596" s="355"/>
      <c r="D596" s="355"/>
      <c r="E596" s="355"/>
      <c r="F596" s="355"/>
    </row>
    <row r="597" spans="1:6" ht="54" customHeight="1" x14ac:dyDescent="0.3">
      <c r="A597" s="355" t="s">
        <v>968</v>
      </c>
      <c r="B597" s="355"/>
      <c r="C597" s="355"/>
      <c r="D597" s="355"/>
      <c r="E597" s="355"/>
      <c r="F597" s="355"/>
    </row>
    <row r="598" spans="1:6" ht="37.5" customHeight="1" x14ac:dyDescent="0.3">
      <c r="A598" s="355" t="s">
        <v>969</v>
      </c>
      <c r="B598" s="355"/>
      <c r="C598" s="355"/>
      <c r="D598" s="355"/>
      <c r="E598" s="355"/>
      <c r="F598" s="355"/>
    </row>
    <row r="599" spans="1:6" ht="37.5" customHeight="1" x14ac:dyDescent="0.3">
      <c r="A599" s="355" t="s">
        <v>970</v>
      </c>
      <c r="B599" s="355"/>
      <c r="C599" s="355"/>
      <c r="D599" s="355"/>
      <c r="E599" s="355"/>
      <c r="F599" s="355"/>
    </row>
    <row r="600" spans="1:6" ht="37.5" customHeight="1" x14ac:dyDescent="0.3">
      <c r="A600" s="355" t="s">
        <v>971</v>
      </c>
      <c r="B600" s="355"/>
      <c r="C600" s="355"/>
      <c r="D600" s="355"/>
      <c r="E600" s="355"/>
      <c r="F600" s="355"/>
    </row>
    <row r="601" spans="1:6" ht="54" customHeight="1" x14ac:dyDescent="0.3">
      <c r="A601" s="355" t="s">
        <v>972</v>
      </c>
      <c r="B601" s="355"/>
      <c r="C601" s="355"/>
      <c r="D601" s="355"/>
      <c r="E601" s="355"/>
      <c r="F601" s="355"/>
    </row>
    <row r="602" spans="1:6" ht="37.5" customHeight="1" x14ac:dyDescent="0.3">
      <c r="A602" s="355" t="s">
        <v>973</v>
      </c>
      <c r="B602" s="355"/>
      <c r="C602" s="355"/>
      <c r="D602" s="355"/>
      <c r="E602" s="355"/>
      <c r="F602" s="355"/>
    </row>
    <row r="603" spans="1:6" ht="21.75" customHeight="1" x14ac:dyDescent="0.3">
      <c r="A603" s="355" t="s">
        <v>974</v>
      </c>
      <c r="B603" s="355"/>
      <c r="C603" s="355"/>
      <c r="D603" s="355"/>
      <c r="E603" s="355"/>
      <c r="F603" s="355"/>
    </row>
    <row r="604" spans="1:6" ht="37.5" customHeight="1" x14ac:dyDescent="0.3">
      <c r="A604" s="355" t="s">
        <v>975</v>
      </c>
      <c r="B604" s="355"/>
      <c r="C604" s="355"/>
      <c r="D604" s="355"/>
      <c r="E604" s="355"/>
      <c r="F604" s="355"/>
    </row>
    <row r="605" spans="1:6" ht="37.5" customHeight="1" x14ac:dyDescent="0.3">
      <c r="A605" s="355" t="s">
        <v>976</v>
      </c>
      <c r="B605" s="355"/>
      <c r="C605" s="355"/>
      <c r="D605" s="355"/>
      <c r="E605" s="355"/>
      <c r="F605" s="355"/>
    </row>
    <row r="606" spans="1:6" ht="37.5" customHeight="1" x14ac:dyDescent="0.3">
      <c r="A606" s="355" t="s">
        <v>977</v>
      </c>
      <c r="B606" s="355"/>
      <c r="C606" s="355"/>
      <c r="D606" s="355"/>
      <c r="E606" s="355"/>
      <c r="F606" s="355"/>
    </row>
    <row r="607" spans="1:6" ht="69.75" customHeight="1" x14ac:dyDescent="0.3">
      <c r="A607" s="355" t="s">
        <v>978</v>
      </c>
      <c r="B607" s="355"/>
      <c r="C607" s="355"/>
      <c r="D607" s="355"/>
      <c r="E607" s="355"/>
      <c r="F607" s="355"/>
    </row>
    <row r="608" spans="1:6" ht="37.5" customHeight="1" x14ac:dyDescent="0.3">
      <c r="A608" s="355" t="s">
        <v>979</v>
      </c>
      <c r="B608" s="355"/>
      <c r="C608" s="355"/>
      <c r="D608" s="355"/>
      <c r="E608" s="355"/>
      <c r="F608" s="355"/>
    </row>
    <row r="609" spans="1:6" ht="37.5" customHeight="1" x14ac:dyDescent="0.3">
      <c r="A609" s="355" t="s">
        <v>980</v>
      </c>
      <c r="B609" s="355"/>
      <c r="C609" s="355"/>
      <c r="D609" s="355"/>
      <c r="E609" s="355"/>
      <c r="F609" s="355"/>
    </row>
    <row r="610" spans="1:6" ht="21.75" customHeight="1" x14ac:dyDescent="0.3">
      <c r="A610" s="356" t="s">
        <v>981</v>
      </c>
      <c r="B610" s="356"/>
      <c r="C610" s="356"/>
      <c r="D610" s="356"/>
      <c r="E610" s="356"/>
      <c r="F610" s="356"/>
    </row>
    <row r="611" spans="1:6" ht="21.75" customHeight="1" x14ac:dyDescent="0.3">
      <c r="A611" s="355" t="s">
        <v>982</v>
      </c>
      <c r="B611" s="355"/>
      <c r="C611" s="355"/>
      <c r="D611" s="355"/>
      <c r="E611" s="355"/>
      <c r="F611" s="355"/>
    </row>
    <row r="612" spans="1:6" ht="21.75" customHeight="1" x14ac:dyDescent="0.3">
      <c r="A612" s="355" t="s">
        <v>983</v>
      </c>
      <c r="B612" s="355"/>
      <c r="C612" s="355"/>
      <c r="D612" s="355"/>
      <c r="E612" s="355"/>
      <c r="F612" s="355"/>
    </row>
    <row r="613" spans="1:6" ht="21.75" customHeight="1" x14ac:dyDescent="0.3">
      <c r="A613" s="355" t="s">
        <v>984</v>
      </c>
      <c r="B613" s="355"/>
      <c r="C613" s="355"/>
      <c r="D613" s="355"/>
      <c r="E613" s="355"/>
      <c r="F613" s="355"/>
    </row>
    <row r="614" spans="1:6" ht="21.75" customHeight="1" x14ac:dyDescent="0.3">
      <c r="A614" s="355" t="s">
        <v>985</v>
      </c>
      <c r="B614" s="355"/>
      <c r="C614" s="355"/>
      <c r="D614" s="355"/>
      <c r="E614" s="355"/>
      <c r="F614" s="355"/>
    </row>
    <row r="615" spans="1:6" ht="21.75" customHeight="1" x14ac:dyDescent="0.3">
      <c r="A615" s="355" t="s">
        <v>986</v>
      </c>
      <c r="B615" s="355"/>
      <c r="C615" s="355"/>
      <c r="D615" s="355"/>
      <c r="E615" s="355"/>
      <c r="F615" s="355"/>
    </row>
    <row r="616" spans="1:6" ht="21.75" customHeight="1" x14ac:dyDescent="0.3">
      <c r="A616" s="355" t="s">
        <v>987</v>
      </c>
      <c r="B616" s="355"/>
      <c r="C616" s="355"/>
      <c r="D616" s="355"/>
      <c r="E616" s="355"/>
      <c r="F616" s="355"/>
    </row>
    <row r="617" spans="1:6" ht="21.75" customHeight="1" x14ac:dyDescent="0.3">
      <c r="A617" s="355" t="s">
        <v>988</v>
      </c>
      <c r="B617" s="355"/>
      <c r="C617" s="355"/>
      <c r="D617" s="355"/>
      <c r="E617" s="355"/>
      <c r="F617" s="355"/>
    </row>
    <row r="618" spans="1:6" ht="21.75" customHeight="1" x14ac:dyDescent="0.3">
      <c r="A618" s="355" t="s">
        <v>989</v>
      </c>
      <c r="B618" s="355"/>
      <c r="C618" s="355"/>
      <c r="D618" s="355"/>
      <c r="E618" s="355"/>
      <c r="F618" s="355"/>
    </row>
    <row r="619" spans="1:6" ht="21.75" customHeight="1" x14ac:dyDescent="0.3">
      <c r="A619" s="355" t="s">
        <v>990</v>
      </c>
      <c r="B619" s="355"/>
      <c r="C619" s="355"/>
      <c r="D619" s="355"/>
      <c r="E619" s="355"/>
      <c r="F619" s="355"/>
    </row>
    <row r="620" spans="1:6" ht="21.75" customHeight="1" x14ac:dyDescent="0.3">
      <c r="A620" s="355" t="s">
        <v>991</v>
      </c>
      <c r="B620" s="355"/>
      <c r="C620" s="355"/>
      <c r="D620" s="355"/>
      <c r="E620" s="355"/>
      <c r="F620" s="355"/>
    </row>
    <row r="621" spans="1:6" ht="21.75" customHeight="1" x14ac:dyDescent="0.3">
      <c r="A621" s="355" t="s">
        <v>992</v>
      </c>
      <c r="B621" s="355"/>
      <c r="C621" s="355"/>
      <c r="D621" s="355"/>
      <c r="E621" s="355"/>
      <c r="F621" s="355"/>
    </row>
    <row r="622" spans="1:6" ht="21.75" customHeight="1" x14ac:dyDescent="0.3">
      <c r="A622" s="355" t="s">
        <v>993</v>
      </c>
      <c r="B622" s="355"/>
      <c r="C622" s="355"/>
      <c r="D622" s="355"/>
      <c r="E622" s="355"/>
      <c r="F622" s="355"/>
    </row>
    <row r="623" spans="1:6" ht="21.75" customHeight="1" x14ac:dyDescent="0.3">
      <c r="A623" s="355" t="s">
        <v>994</v>
      </c>
      <c r="B623" s="355"/>
      <c r="C623" s="355"/>
      <c r="D623" s="355"/>
      <c r="E623" s="355"/>
      <c r="F623" s="355"/>
    </row>
    <row r="624" spans="1:6" ht="21.75" customHeight="1" x14ac:dyDescent="0.3">
      <c r="A624" s="355" t="s">
        <v>995</v>
      </c>
      <c r="B624" s="355"/>
      <c r="C624" s="355"/>
      <c r="D624" s="355"/>
      <c r="E624" s="355"/>
      <c r="F624" s="355"/>
    </row>
    <row r="625" spans="1:6" ht="21.75" customHeight="1" x14ac:dyDescent="0.3">
      <c r="A625" s="355" t="s">
        <v>996</v>
      </c>
      <c r="B625" s="355"/>
      <c r="C625" s="355"/>
      <c r="D625" s="355"/>
      <c r="E625" s="355"/>
      <c r="F625" s="355"/>
    </row>
    <row r="626" spans="1:6" ht="21.75" customHeight="1" x14ac:dyDescent="0.3">
      <c r="A626" s="355" t="s">
        <v>997</v>
      </c>
      <c r="B626" s="355"/>
      <c r="C626" s="355"/>
      <c r="D626" s="355"/>
      <c r="E626" s="355"/>
      <c r="F626" s="355"/>
    </row>
    <row r="627" spans="1:6" ht="21.75" customHeight="1" x14ac:dyDescent="0.3">
      <c r="A627" s="355" t="s">
        <v>998</v>
      </c>
      <c r="B627" s="355"/>
      <c r="C627" s="355"/>
      <c r="D627" s="355"/>
      <c r="E627" s="355"/>
      <c r="F627" s="355"/>
    </row>
    <row r="628" spans="1:6" ht="21.75" customHeight="1" x14ac:dyDescent="0.3">
      <c r="A628" s="356" t="s">
        <v>475</v>
      </c>
      <c r="B628" s="356"/>
      <c r="C628" s="356"/>
      <c r="D628" s="356"/>
      <c r="E628" s="356"/>
      <c r="F628" s="356"/>
    </row>
    <row r="629" spans="1:6" ht="37.5" customHeight="1" x14ac:dyDescent="0.3">
      <c r="A629" s="355" t="s">
        <v>999</v>
      </c>
      <c r="B629" s="355"/>
      <c r="C629" s="355"/>
      <c r="D629" s="355"/>
      <c r="E629" s="355"/>
      <c r="F629" s="355"/>
    </row>
    <row r="630" spans="1:6" ht="21.75" customHeight="1" x14ac:dyDescent="0.3">
      <c r="A630" s="355" t="s">
        <v>1000</v>
      </c>
      <c r="B630" s="355"/>
      <c r="C630" s="355"/>
      <c r="D630" s="355"/>
      <c r="E630" s="355"/>
      <c r="F630" s="355"/>
    </row>
    <row r="631" spans="1:6" ht="21.75" customHeight="1" x14ac:dyDescent="0.3">
      <c r="A631" s="355" t="s">
        <v>1001</v>
      </c>
      <c r="B631" s="355"/>
      <c r="C631" s="355"/>
      <c r="D631" s="355"/>
      <c r="E631" s="355"/>
      <c r="F631" s="355"/>
    </row>
    <row r="632" spans="1:6" ht="21.75" customHeight="1" x14ac:dyDescent="0.3">
      <c r="A632" s="355" t="s">
        <v>1002</v>
      </c>
      <c r="B632" s="355"/>
      <c r="C632" s="355"/>
      <c r="D632" s="355"/>
      <c r="E632" s="355"/>
      <c r="F632" s="355"/>
    </row>
    <row r="633" spans="1:6" ht="21.75" customHeight="1" x14ac:dyDescent="0.3">
      <c r="A633" s="355" t="s">
        <v>1003</v>
      </c>
      <c r="B633" s="355"/>
      <c r="C633" s="355"/>
      <c r="D633" s="355"/>
      <c r="E633" s="355"/>
      <c r="F633" s="355"/>
    </row>
    <row r="634" spans="1:6" ht="37.5" customHeight="1" x14ac:dyDescent="0.3">
      <c r="A634" s="355" t="s">
        <v>1004</v>
      </c>
      <c r="B634" s="355"/>
      <c r="C634" s="355"/>
      <c r="D634" s="355"/>
      <c r="E634" s="355"/>
      <c r="F634" s="355"/>
    </row>
    <row r="635" spans="1:6" ht="21.75" customHeight="1" x14ac:dyDescent="0.3">
      <c r="A635" s="355" t="s">
        <v>1005</v>
      </c>
      <c r="B635" s="355"/>
      <c r="C635" s="355"/>
      <c r="D635" s="355"/>
      <c r="E635" s="355"/>
      <c r="F635" s="355"/>
    </row>
    <row r="636" spans="1:6" ht="21.75" customHeight="1" x14ac:dyDescent="0.3">
      <c r="A636" s="355" t="s">
        <v>1006</v>
      </c>
      <c r="B636" s="355"/>
      <c r="C636" s="355"/>
      <c r="D636" s="355"/>
      <c r="E636" s="355"/>
      <c r="F636" s="355"/>
    </row>
    <row r="637" spans="1:6" ht="37.5" customHeight="1" x14ac:dyDescent="0.3">
      <c r="A637" s="355" t="s">
        <v>1007</v>
      </c>
      <c r="B637" s="355"/>
      <c r="C637" s="355"/>
      <c r="D637" s="355"/>
      <c r="E637" s="355"/>
      <c r="F637" s="355"/>
    </row>
    <row r="638" spans="1:6" ht="37.5" customHeight="1" x14ac:dyDescent="0.3">
      <c r="A638" s="355" t="s">
        <v>1008</v>
      </c>
      <c r="B638" s="355"/>
      <c r="C638" s="355"/>
      <c r="D638" s="355"/>
      <c r="E638" s="355"/>
      <c r="F638" s="355"/>
    </row>
    <row r="639" spans="1:6" ht="21.75" customHeight="1" x14ac:dyDescent="0.3">
      <c r="A639" s="355" t="s">
        <v>1009</v>
      </c>
      <c r="B639" s="355"/>
      <c r="C639" s="355"/>
      <c r="D639" s="355"/>
      <c r="E639" s="355"/>
      <c r="F639" s="355"/>
    </row>
    <row r="640" spans="1:6" ht="85.5" customHeight="1" x14ac:dyDescent="0.3">
      <c r="A640" s="355" t="s">
        <v>1010</v>
      </c>
      <c r="B640" s="355"/>
      <c r="C640" s="355"/>
      <c r="D640" s="355"/>
      <c r="E640" s="355"/>
      <c r="F640" s="355"/>
    </row>
    <row r="641" spans="1:6" ht="37.5" customHeight="1" x14ac:dyDescent="0.3">
      <c r="A641" s="355" t="s">
        <v>1011</v>
      </c>
      <c r="B641" s="355"/>
      <c r="C641" s="355"/>
      <c r="D641" s="355"/>
      <c r="E641" s="355"/>
      <c r="F641" s="355"/>
    </row>
    <row r="642" spans="1:6" ht="21.75" customHeight="1" x14ac:dyDescent="0.3">
      <c r="A642" s="355" t="s">
        <v>1012</v>
      </c>
      <c r="B642" s="355"/>
      <c r="C642" s="355"/>
      <c r="D642" s="355"/>
      <c r="E642" s="355"/>
      <c r="F642" s="355"/>
    </row>
    <row r="643" spans="1:6" ht="37.5" customHeight="1" x14ac:dyDescent="0.3">
      <c r="A643" s="355" t="s">
        <v>1013</v>
      </c>
      <c r="B643" s="355"/>
      <c r="C643" s="355"/>
      <c r="D643" s="355"/>
      <c r="E643" s="355"/>
      <c r="F643" s="355"/>
    </row>
    <row r="644" spans="1:6" ht="21.75" customHeight="1" x14ac:dyDescent="0.3">
      <c r="A644" s="355" t="s">
        <v>1014</v>
      </c>
      <c r="B644" s="355"/>
      <c r="C644" s="355"/>
      <c r="D644" s="355"/>
      <c r="E644" s="355"/>
      <c r="F644" s="355"/>
    </row>
    <row r="645" spans="1:6" ht="21.75" customHeight="1" x14ac:dyDescent="0.3">
      <c r="A645" s="355" t="s">
        <v>1015</v>
      </c>
      <c r="B645" s="355"/>
      <c r="C645" s="355"/>
      <c r="D645" s="355"/>
      <c r="E645" s="355"/>
      <c r="F645" s="355"/>
    </row>
    <row r="646" spans="1:6" ht="69.75" customHeight="1" x14ac:dyDescent="0.3">
      <c r="A646" s="355" t="s">
        <v>1016</v>
      </c>
      <c r="B646" s="355"/>
      <c r="C646" s="355"/>
      <c r="D646" s="355"/>
      <c r="E646" s="355"/>
      <c r="F646" s="355"/>
    </row>
    <row r="647" spans="1:6" ht="69.75" customHeight="1" x14ac:dyDescent="0.3">
      <c r="A647" s="355" t="s">
        <v>1017</v>
      </c>
      <c r="B647" s="355"/>
      <c r="C647" s="355"/>
      <c r="D647" s="355"/>
      <c r="E647" s="355"/>
      <c r="F647" s="355"/>
    </row>
    <row r="648" spans="1:6" ht="37.5" customHeight="1" x14ac:dyDescent="0.3">
      <c r="A648" s="355" t="s">
        <v>1018</v>
      </c>
      <c r="B648" s="355"/>
      <c r="C648" s="355"/>
      <c r="D648" s="355"/>
      <c r="E648" s="355"/>
      <c r="F648" s="355"/>
    </row>
    <row r="649" spans="1:6" ht="37.5" customHeight="1" x14ac:dyDescent="0.3">
      <c r="A649" s="355" t="s">
        <v>1019</v>
      </c>
      <c r="B649" s="355"/>
      <c r="C649" s="355"/>
      <c r="D649" s="355"/>
      <c r="E649" s="355"/>
      <c r="F649" s="355"/>
    </row>
    <row r="650" spans="1:6" ht="54" customHeight="1" x14ac:dyDescent="0.3">
      <c r="A650" s="355" t="s">
        <v>1020</v>
      </c>
      <c r="B650" s="355"/>
      <c r="C650" s="355"/>
      <c r="D650" s="355"/>
      <c r="E650" s="355"/>
      <c r="F650" s="355"/>
    </row>
    <row r="651" spans="1:6" ht="21.75" customHeight="1" x14ac:dyDescent="0.3">
      <c r="A651" s="355" t="s">
        <v>1021</v>
      </c>
      <c r="B651" s="355"/>
      <c r="C651" s="355"/>
      <c r="D651" s="355"/>
      <c r="E651" s="355"/>
      <c r="F651" s="355"/>
    </row>
    <row r="652" spans="1:6" ht="21.75" customHeight="1" x14ac:dyDescent="0.3">
      <c r="A652" s="355" t="s">
        <v>1022</v>
      </c>
      <c r="B652" s="355"/>
      <c r="C652" s="355"/>
      <c r="D652" s="355"/>
      <c r="E652" s="355"/>
      <c r="F652" s="355"/>
    </row>
    <row r="653" spans="1:6" ht="102" customHeight="1" x14ac:dyDescent="0.3">
      <c r="A653" s="355" t="s">
        <v>1023</v>
      </c>
      <c r="B653" s="355"/>
      <c r="C653" s="355"/>
      <c r="D653" s="355"/>
      <c r="E653" s="355"/>
      <c r="F653" s="355"/>
    </row>
    <row r="654" spans="1:6" ht="21.75" customHeight="1" x14ac:dyDescent="0.3">
      <c r="A654" s="356" t="s">
        <v>1024</v>
      </c>
      <c r="B654" s="356"/>
      <c r="C654" s="356"/>
      <c r="D654" s="356"/>
      <c r="E654" s="356"/>
      <c r="F654" s="356"/>
    </row>
    <row r="655" spans="1:6" ht="37.5" customHeight="1" x14ac:dyDescent="0.3">
      <c r="A655" s="355" t="s">
        <v>1025</v>
      </c>
      <c r="B655" s="355"/>
      <c r="C655" s="355"/>
      <c r="D655" s="355"/>
      <c r="E655" s="355"/>
      <c r="F655" s="355"/>
    </row>
    <row r="656" spans="1:6" ht="54" customHeight="1" x14ac:dyDescent="0.3">
      <c r="A656" s="355" t="s">
        <v>1026</v>
      </c>
      <c r="B656" s="355"/>
      <c r="C656" s="355"/>
      <c r="D656" s="355"/>
      <c r="E656" s="355"/>
      <c r="F656" s="355"/>
    </row>
    <row r="657" spans="1:6" ht="37.5" customHeight="1" x14ac:dyDescent="0.3">
      <c r="A657" s="355" t="s">
        <v>1027</v>
      </c>
      <c r="B657" s="355"/>
      <c r="C657" s="355"/>
      <c r="D657" s="355"/>
      <c r="E657" s="355"/>
      <c r="F657" s="355"/>
    </row>
    <row r="658" spans="1:6" ht="21.75" customHeight="1" x14ac:dyDescent="0.3">
      <c r="A658" s="355" t="s">
        <v>1028</v>
      </c>
      <c r="B658" s="355"/>
      <c r="C658" s="355"/>
      <c r="D658" s="355"/>
      <c r="E658" s="355"/>
      <c r="F658" s="355"/>
    </row>
    <row r="659" spans="1:6" ht="37.5" customHeight="1" x14ac:dyDescent="0.3">
      <c r="A659" s="355" t="s">
        <v>1029</v>
      </c>
      <c r="B659" s="355"/>
      <c r="C659" s="355"/>
      <c r="D659" s="355"/>
      <c r="E659" s="355"/>
      <c r="F659" s="355"/>
    </row>
    <row r="660" spans="1:6" ht="21.75" customHeight="1" x14ac:dyDescent="0.3">
      <c r="A660" s="356" t="s">
        <v>1030</v>
      </c>
      <c r="B660" s="356"/>
      <c r="C660" s="356"/>
      <c r="D660" s="356"/>
      <c r="E660" s="356"/>
      <c r="F660" s="356"/>
    </row>
    <row r="661" spans="1:6" ht="54" customHeight="1" x14ac:dyDescent="0.3">
      <c r="A661" s="355" t="s">
        <v>1031</v>
      </c>
      <c r="B661" s="355"/>
      <c r="C661" s="355"/>
      <c r="D661" s="355"/>
      <c r="E661" s="355"/>
      <c r="F661" s="355"/>
    </row>
    <row r="662" spans="1:6" ht="37.5" customHeight="1" x14ac:dyDescent="0.3">
      <c r="A662" s="355" t="s">
        <v>1032</v>
      </c>
      <c r="B662" s="355"/>
      <c r="C662" s="355"/>
      <c r="D662" s="355"/>
      <c r="E662" s="355"/>
      <c r="F662" s="355"/>
    </row>
    <row r="663" spans="1:6" ht="54" customHeight="1" x14ac:dyDescent="0.3">
      <c r="A663" s="355" t="s">
        <v>1033</v>
      </c>
      <c r="B663" s="355"/>
      <c r="C663" s="355"/>
      <c r="D663" s="355"/>
      <c r="E663" s="355"/>
      <c r="F663" s="355"/>
    </row>
    <row r="664" spans="1:6" ht="54" customHeight="1" x14ac:dyDescent="0.3">
      <c r="A664" s="355" t="s">
        <v>1034</v>
      </c>
      <c r="B664" s="355"/>
      <c r="C664" s="355"/>
      <c r="D664" s="355"/>
      <c r="E664" s="355"/>
      <c r="F664" s="355"/>
    </row>
    <row r="665" spans="1:6" ht="37.5" customHeight="1" x14ac:dyDescent="0.3">
      <c r="A665" s="355" t="s">
        <v>1035</v>
      </c>
      <c r="B665" s="355"/>
      <c r="C665" s="355"/>
      <c r="D665" s="355"/>
      <c r="E665" s="355"/>
      <c r="F665" s="355"/>
    </row>
    <row r="666" spans="1:6" ht="21.75" customHeight="1" x14ac:dyDescent="0.3">
      <c r="A666" s="355" t="s">
        <v>1036</v>
      </c>
      <c r="B666" s="355"/>
      <c r="C666" s="355"/>
      <c r="D666" s="355"/>
      <c r="E666" s="355"/>
      <c r="F666" s="355"/>
    </row>
    <row r="667" spans="1:6" ht="54" customHeight="1" x14ac:dyDescent="0.3">
      <c r="A667" s="355" t="s">
        <v>1037</v>
      </c>
      <c r="B667" s="355"/>
      <c r="C667" s="355"/>
      <c r="D667" s="355"/>
      <c r="E667" s="355"/>
      <c r="F667" s="355"/>
    </row>
    <row r="668" spans="1:6" ht="69.75" customHeight="1" x14ac:dyDescent="0.3">
      <c r="A668" s="355" t="s">
        <v>1038</v>
      </c>
      <c r="B668" s="355"/>
      <c r="C668" s="355"/>
      <c r="D668" s="355"/>
      <c r="E668" s="355"/>
      <c r="F668" s="355"/>
    </row>
    <row r="669" spans="1:6" ht="69.75" customHeight="1" x14ac:dyDescent="0.3">
      <c r="A669" s="355" t="s">
        <v>1039</v>
      </c>
      <c r="B669" s="355"/>
      <c r="C669" s="355"/>
      <c r="D669" s="355"/>
      <c r="E669" s="355"/>
      <c r="F669" s="355"/>
    </row>
    <row r="670" spans="1:6" ht="54" customHeight="1" x14ac:dyDescent="0.3">
      <c r="A670" s="355" t="s">
        <v>1040</v>
      </c>
      <c r="B670" s="355"/>
      <c r="C670" s="355"/>
      <c r="D670" s="355"/>
      <c r="E670" s="355"/>
      <c r="F670" s="355"/>
    </row>
    <row r="671" spans="1:6" ht="54" customHeight="1" x14ac:dyDescent="0.3">
      <c r="A671" s="355" t="s">
        <v>1041</v>
      </c>
      <c r="B671" s="355"/>
      <c r="C671" s="355"/>
      <c r="D671" s="355"/>
      <c r="E671" s="355"/>
      <c r="F671" s="355"/>
    </row>
    <row r="672" spans="1:6" ht="21.75" customHeight="1" x14ac:dyDescent="0.3">
      <c r="A672" s="355" t="s">
        <v>1042</v>
      </c>
      <c r="B672" s="355"/>
      <c r="C672" s="355"/>
      <c r="D672" s="355"/>
      <c r="E672" s="355"/>
      <c r="F672" s="355"/>
    </row>
    <row r="673" spans="1:6" ht="85.5" customHeight="1" x14ac:dyDescent="0.3">
      <c r="A673" s="355" t="s">
        <v>1043</v>
      </c>
      <c r="B673" s="355"/>
      <c r="C673" s="355"/>
      <c r="D673" s="355"/>
      <c r="E673" s="355"/>
      <c r="F673" s="355"/>
    </row>
    <row r="674" spans="1:6" ht="37.5" customHeight="1" x14ac:dyDescent="0.3">
      <c r="A674" s="355" t="s">
        <v>1044</v>
      </c>
      <c r="B674" s="355"/>
      <c r="C674" s="355"/>
      <c r="D674" s="355"/>
      <c r="E674" s="355"/>
      <c r="F674" s="355"/>
    </row>
    <row r="675" spans="1:6" ht="54" customHeight="1" x14ac:dyDescent="0.3">
      <c r="A675" s="355" t="s">
        <v>1045</v>
      </c>
      <c r="B675" s="355"/>
      <c r="C675" s="355"/>
      <c r="D675" s="355"/>
      <c r="E675" s="355"/>
      <c r="F675" s="355"/>
    </row>
    <row r="676" spans="1:6" ht="85.5" customHeight="1" x14ac:dyDescent="0.3">
      <c r="A676" s="355" t="s">
        <v>1046</v>
      </c>
      <c r="B676" s="355"/>
      <c r="C676" s="355"/>
      <c r="D676" s="355"/>
      <c r="E676" s="355"/>
      <c r="F676" s="355"/>
    </row>
    <row r="677" spans="1:6" ht="69.75" customHeight="1" x14ac:dyDescent="0.3">
      <c r="A677" s="355" t="s">
        <v>1047</v>
      </c>
      <c r="B677" s="355"/>
      <c r="C677" s="355"/>
      <c r="D677" s="355"/>
      <c r="E677" s="355"/>
      <c r="F677" s="355"/>
    </row>
    <row r="678" spans="1:6" ht="102" customHeight="1" x14ac:dyDescent="0.3">
      <c r="A678" s="355" t="s">
        <v>1048</v>
      </c>
      <c r="B678" s="355"/>
      <c r="C678" s="355"/>
      <c r="D678" s="355"/>
      <c r="E678" s="355"/>
      <c r="F678" s="355"/>
    </row>
    <row r="679" spans="1:6" ht="21.75" customHeight="1" x14ac:dyDescent="0.3">
      <c r="A679" s="355" t="s">
        <v>1049</v>
      </c>
      <c r="B679" s="355"/>
      <c r="C679" s="355"/>
      <c r="D679" s="355"/>
      <c r="E679" s="355"/>
      <c r="F679" s="355"/>
    </row>
    <row r="680" spans="1:6" ht="102" customHeight="1" x14ac:dyDescent="0.3">
      <c r="A680" s="355" t="s">
        <v>1050</v>
      </c>
      <c r="B680" s="355"/>
      <c r="C680" s="355"/>
      <c r="D680" s="355"/>
      <c r="E680" s="355"/>
      <c r="F680" s="355"/>
    </row>
    <row r="681" spans="1:6" ht="37.5" customHeight="1" x14ac:dyDescent="0.3">
      <c r="A681" s="355" t="s">
        <v>1051</v>
      </c>
      <c r="B681" s="355"/>
      <c r="C681" s="355"/>
      <c r="D681" s="355"/>
      <c r="E681" s="355"/>
      <c r="F681" s="355"/>
    </row>
    <row r="682" spans="1:6" ht="69.75" customHeight="1" x14ac:dyDescent="0.3">
      <c r="A682" s="355" t="s">
        <v>1052</v>
      </c>
      <c r="B682" s="355"/>
      <c r="C682" s="355"/>
      <c r="D682" s="355"/>
      <c r="E682" s="355"/>
      <c r="F682" s="355"/>
    </row>
    <row r="683" spans="1:6" ht="21.75" customHeight="1" x14ac:dyDescent="0.3">
      <c r="A683" s="355" t="s">
        <v>1053</v>
      </c>
      <c r="B683" s="355"/>
      <c r="C683" s="355"/>
      <c r="D683" s="355"/>
      <c r="E683" s="355"/>
      <c r="F683" s="355"/>
    </row>
    <row r="684" spans="1:6" ht="21.75" customHeight="1" x14ac:dyDescent="0.3">
      <c r="A684" s="355" t="s">
        <v>1054</v>
      </c>
      <c r="B684" s="355"/>
      <c r="C684" s="355"/>
      <c r="D684" s="355"/>
      <c r="E684" s="355"/>
      <c r="F684" s="355"/>
    </row>
    <row r="685" spans="1:6" ht="37.5" customHeight="1" x14ac:dyDescent="0.3">
      <c r="A685" s="356" t="s">
        <v>1055</v>
      </c>
      <c r="B685" s="356"/>
      <c r="C685" s="356"/>
      <c r="D685" s="356"/>
      <c r="E685" s="356"/>
      <c r="F685" s="356"/>
    </row>
    <row r="686" spans="1:6" ht="102" customHeight="1" x14ac:dyDescent="0.3">
      <c r="A686" s="355" t="s">
        <v>1056</v>
      </c>
      <c r="B686" s="355"/>
      <c r="C686" s="355"/>
      <c r="D686" s="355"/>
      <c r="E686" s="355"/>
      <c r="F686" s="355"/>
    </row>
    <row r="687" spans="1:6" ht="150" customHeight="1" x14ac:dyDescent="0.3">
      <c r="A687" s="355" t="s">
        <v>1057</v>
      </c>
      <c r="B687" s="355"/>
      <c r="C687" s="355"/>
      <c r="D687" s="355"/>
      <c r="E687" s="355"/>
      <c r="F687" s="355"/>
    </row>
    <row r="688" spans="1:6" ht="54" customHeight="1" x14ac:dyDescent="0.3">
      <c r="A688" s="355" t="s">
        <v>1058</v>
      </c>
      <c r="B688" s="355"/>
      <c r="C688" s="355"/>
      <c r="D688" s="355"/>
      <c r="E688" s="355"/>
      <c r="F688" s="355"/>
    </row>
    <row r="689" spans="1:6" ht="69.75" customHeight="1" x14ac:dyDescent="0.3">
      <c r="A689" s="355" t="s">
        <v>1059</v>
      </c>
      <c r="B689" s="355"/>
      <c r="C689" s="355"/>
      <c r="D689" s="355"/>
      <c r="E689" s="355"/>
      <c r="F689" s="355"/>
    </row>
    <row r="690" spans="1:6" ht="117.75" customHeight="1" x14ac:dyDescent="0.3">
      <c r="A690" s="355" t="s">
        <v>1060</v>
      </c>
      <c r="B690" s="355"/>
      <c r="C690" s="355"/>
      <c r="D690" s="355"/>
      <c r="E690" s="355"/>
      <c r="F690" s="355"/>
    </row>
    <row r="691" spans="1:6" ht="117.75" customHeight="1" x14ac:dyDescent="0.3">
      <c r="A691" s="355" t="s">
        <v>1061</v>
      </c>
      <c r="B691" s="355"/>
      <c r="C691" s="355"/>
      <c r="D691" s="355"/>
      <c r="E691" s="355"/>
      <c r="F691" s="355"/>
    </row>
    <row r="692" spans="1:6" ht="102" customHeight="1" x14ac:dyDescent="0.3">
      <c r="A692" s="355" t="s">
        <v>1062</v>
      </c>
      <c r="B692" s="355"/>
      <c r="C692" s="355"/>
      <c r="D692" s="355"/>
      <c r="E692" s="355"/>
      <c r="F692" s="355"/>
    </row>
    <row r="693" spans="1:6" ht="37.5" customHeight="1" x14ac:dyDescent="0.3">
      <c r="A693" s="356" t="s">
        <v>478</v>
      </c>
      <c r="B693" s="356"/>
      <c r="C693" s="356"/>
      <c r="D693" s="356"/>
      <c r="E693" s="356"/>
      <c r="F693" s="356"/>
    </row>
    <row r="694" spans="1:6" ht="198" customHeight="1" x14ac:dyDescent="0.3">
      <c r="A694" s="355" t="s">
        <v>1063</v>
      </c>
      <c r="B694" s="355"/>
      <c r="C694" s="355"/>
      <c r="D694" s="355"/>
      <c r="E694" s="355"/>
      <c r="F694" s="355"/>
    </row>
    <row r="695" spans="1:6" ht="102" customHeight="1" x14ac:dyDescent="0.3">
      <c r="A695" s="355" t="s">
        <v>1064</v>
      </c>
      <c r="B695" s="355"/>
      <c r="C695" s="355"/>
      <c r="D695" s="355"/>
      <c r="E695" s="355"/>
      <c r="F695" s="355"/>
    </row>
    <row r="696" spans="1:6" ht="165.75" customHeight="1" x14ac:dyDescent="0.3">
      <c r="A696" s="355" t="s">
        <v>1065</v>
      </c>
      <c r="B696" s="355"/>
      <c r="C696" s="355"/>
      <c r="D696" s="355"/>
      <c r="E696" s="355"/>
      <c r="F696" s="355"/>
    </row>
    <row r="697" spans="1:6" ht="133.5" customHeight="1" x14ac:dyDescent="0.3">
      <c r="A697" s="355" t="s">
        <v>1066</v>
      </c>
      <c r="B697" s="355"/>
      <c r="C697" s="355"/>
      <c r="D697" s="355"/>
      <c r="E697" s="355"/>
      <c r="F697" s="355"/>
    </row>
    <row r="698" spans="1:6" ht="117.75" customHeight="1" x14ac:dyDescent="0.3">
      <c r="A698" s="355" t="s">
        <v>1067</v>
      </c>
      <c r="B698" s="355"/>
      <c r="C698" s="355"/>
      <c r="D698" s="355"/>
      <c r="E698" s="355"/>
      <c r="F698" s="355"/>
    </row>
    <row r="699" spans="1:6" ht="37.5" customHeight="1" x14ac:dyDescent="0.3">
      <c r="A699" s="355" t="s">
        <v>1068</v>
      </c>
      <c r="B699" s="355"/>
      <c r="C699" s="355"/>
      <c r="D699" s="355"/>
      <c r="E699" s="355"/>
      <c r="F699" s="355"/>
    </row>
    <row r="700" spans="1:6" ht="54" customHeight="1" x14ac:dyDescent="0.3">
      <c r="A700" s="355" t="s">
        <v>1069</v>
      </c>
      <c r="B700" s="355"/>
      <c r="C700" s="355"/>
      <c r="D700" s="355"/>
      <c r="E700" s="355"/>
      <c r="F700" s="355"/>
    </row>
    <row r="701" spans="1:6" ht="21.75" customHeight="1" x14ac:dyDescent="0.3">
      <c r="A701" s="356" t="s">
        <v>479</v>
      </c>
      <c r="B701" s="356"/>
      <c r="C701" s="356"/>
      <c r="D701" s="356"/>
      <c r="E701" s="356"/>
      <c r="F701" s="356"/>
    </row>
    <row r="702" spans="1:6" ht="69.75" customHeight="1" x14ac:dyDescent="0.3">
      <c r="A702" s="355" t="s">
        <v>1070</v>
      </c>
      <c r="B702" s="355"/>
      <c r="C702" s="355"/>
      <c r="D702" s="355"/>
      <c r="E702" s="355"/>
      <c r="F702" s="355"/>
    </row>
    <row r="703" spans="1:6" ht="37.5" customHeight="1" x14ac:dyDescent="0.3">
      <c r="A703" s="355" t="s">
        <v>1071</v>
      </c>
      <c r="B703" s="355"/>
      <c r="C703" s="355"/>
      <c r="D703" s="355"/>
      <c r="E703" s="355"/>
      <c r="F703" s="355"/>
    </row>
    <row r="704" spans="1:6" ht="37.5" customHeight="1" x14ac:dyDescent="0.3">
      <c r="A704" s="355" t="s">
        <v>1072</v>
      </c>
      <c r="B704" s="355"/>
      <c r="C704" s="355"/>
      <c r="D704" s="355"/>
      <c r="E704" s="355"/>
      <c r="F704" s="355"/>
    </row>
    <row r="705" spans="1:6" ht="21.75" customHeight="1" x14ac:dyDescent="0.3">
      <c r="A705" s="355" t="s">
        <v>1073</v>
      </c>
      <c r="B705" s="355"/>
      <c r="C705" s="355"/>
      <c r="D705" s="355"/>
      <c r="E705" s="355"/>
      <c r="F705" s="355"/>
    </row>
    <row r="706" spans="1:6" ht="85.5" customHeight="1" x14ac:dyDescent="0.3">
      <c r="A706" s="355" t="s">
        <v>1074</v>
      </c>
      <c r="B706" s="355"/>
      <c r="C706" s="355"/>
      <c r="D706" s="355"/>
      <c r="E706" s="355"/>
      <c r="F706" s="355"/>
    </row>
    <row r="707" spans="1:6" ht="117.75" customHeight="1" x14ac:dyDescent="0.3">
      <c r="A707" s="355" t="s">
        <v>1075</v>
      </c>
      <c r="B707" s="355"/>
      <c r="C707" s="355"/>
      <c r="D707" s="355"/>
      <c r="E707" s="355"/>
      <c r="F707" s="355"/>
    </row>
    <row r="708" spans="1:6" ht="37.5" customHeight="1" x14ac:dyDescent="0.3">
      <c r="A708" s="356" t="s">
        <v>480</v>
      </c>
      <c r="B708" s="356"/>
      <c r="C708" s="356"/>
      <c r="D708" s="356"/>
      <c r="E708" s="356"/>
      <c r="F708" s="356"/>
    </row>
    <row r="709" spans="1:6" ht="21.75" customHeight="1" x14ac:dyDescent="0.3">
      <c r="A709" s="355" t="s">
        <v>1076</v>
      </c>
      <c r="B709" s="355"/>
      <c r="C709" s="355"/>
      <c r="D709" s="355"/>
      <c r="E709" s="355"/>
      <c r="F709" s="355"/>
    </row>
    <row r="710" spans="1:6" ht="21.75" customHeight="1" x14ac:dyDescent="0.3">
      <c r="A710" s="355" t="s">
        <v>1077</v>
      </c>
      <c r="B710" s="355"/>
      <c r="C710" s="355"/>
      <c r="D710" s="355"/>
      <c r="E710" s="355"/>
      <c r="F710" s="355"/>
    </row>
    <row r="711" spans="1:6" ht="54" customHeight="1" x14ac:dyDescent="0.3">
      <c r="A711" s="355" t="s">
        <v>1078</v>
      </c>
      <c r="B711" s="355"/>
      <c r="C711" s="355"/>
      <c r="D711" s="355"/>
      <c r="E711" s="355"/>
      <c r="F711" s="355"/>
    </row>
    <row r="712" spans="1:6" ht="85.5" customHeight="1" x14ac:dyDescent="0.3">
      <c r="A712" s="355" t="s">
        <v>1079</v>
      </c>
      <c r="B712" s="355"/>
      <c r="C712" s="355"/>
      <c r="D712" s="355"/>
      <c r="E712" s="355"/>
      <c r="F712" s="355"/>
    </row>
    <row r="713" spans="1:6" ht="21.75" customHeight="1" x14ac:dyDescent="0.3">
      <c r="A713" s="355" t="s">
        <v>1080</v>
      </c>
      <c r="B713" s="355"/>
      <c r="C713" s="355"/>
      <c r="D713" s="355"/>
      <c r="E713" s="355"/>
      <c r="F713" s="355"/>
    </row>
    <row r="714" spans="1:6" ht="85.5" customHeight="1" x14ac:dyDescent="0.3">
      <c r="A714" s="355" t="s">
        <v>1081</v>
      </c>
      <c r="B714" s="355"/>
      <c r="C714" s="355"/>
      <c r="D714" s="355"/>
      <c r="E714" s="355"/>
      <c r="F714" s="355"/>
    </row>
    <row r="715" spans="1:6" ht="21.75" customHeight="1" x14ac:dyDescent="0.3">
      <c r="A715" s="355" t="s">
        <v>1082</v>
      </c>
      <c r="B715" s="355"/>
      <c r="C715" s="355"/>
      <c r="D715" s="355"/>
      <c r="E715" s="355"/>
      <c r="F715" s="355"/>
    </row>
    <row r="716" spans="1:6" ht="85.5" customHeight="1" x14ac:dyDescent="0.3">
      <c r="A716" s="355" t="s">
        <v>1083</v>
      </c>
      <c r="B716" s="355"/>
      <c r="C716" s="355"/>
      <c r="D716" s="355"/>
      <c r="E716" s="355"/>
      <c r="F716" s="355"/>
    </row>
    <row r="717" spans="1:6" ht="21.75" customHeight="1" x14ac:dyDescent="0.3">
      <c r="A717" s="355" t="s">
        <v>1084</v>
      </c>
      <c r="B717" s="355"/>
      <c r="C717" s="355"/>
      <c r="D717" s="355"/>
      <c r="E717" s="355"/>
      <c r="F717" s="355"/>
    </row>
    <row r="718" spans="1:6" ht="37.5" customHeight="1" x14ac:dyDescent="0.3">
      <c r="A718" s="355" t="s">
        <v>1085</v>
      </c>
      <c r="B718" s="355"/>
      <c r="C718" s="355"/>
      <c r="D718" s="355"/>
      <c r="E718" s="355"/>
      <c r="F718" s="355"/>
    </row>
    <row r="719" spans="1:6" ht="37.5" customHeight="1" x14ac:dyDescent="0.3">
      <c r="A719" s="355" t="s">
        <v>1086</v>
      </c>
      <c r="B719" s="355"/>
      <c r="C719" s="355"/>
      <c r="D719" s="355"/>
      <c r="E719" s="355"/>
      <c r="F719" s="355"/>
    </row>
    <row r="720" spans="1:6" ht="21.75" customHeight="1" x14ac:dyDescent="0.3">
      <c r="A720" s="355" t="s">
        <v>1087</v>
      </c>
      <c r="B720" s="355"/>
      <c r="C720" s="355"/>
      <c r="D720" s="355"/>
      <c r="E720" s="355"/>
      <c r="F720" s="355"/>
    </row>
    <row r="721" spans="1:6" ht="69.75" customHeight="1" x14ac:dyDescent="0.3">
      <c r="A721" s="355" t="s">
        <v>1088</v>
      </c>
      <c r="B721" s="355"/>
      <c r="C721" s="355"/>
      <c r="D721" s="355"/>
      <c r="E721" s="355"/>
      <c r="F721" s="355"/>
    </row>
    <row r="722" spans="1:6" ht="37.5" customHeight="1" x14ac:dyDescent="0.3">
      <c r="A722" s="355" t="s">
        <v>1089</v>
      </c>
      <c r="B722" s="355"/>
      <c r="C722" s="355"/>
      <c r="D722" s="355"/>
      <c r="E722" s="355"/>
      <c r="F722" s="355"/>
    </row>
    <row r="723" spans="1:6" ht="69.75" customHeight="1" x14ac:dyDescent="0.3">
      <c r="A723" s="355" t="s">
        <v>1090</v>
      </c>
      <c r="B723" s="355"/>
      <c r="C723" s="355"/>
      <c r="D723" s="355"/>
      <c r="E723" s="355"/>
      <c r="F723" s="355"/>
    </row>
    <row r="724" spans="1:6" ht="37.5" customHeight="1" x14ac:dyDescent="0.3">
      <c r="A724" s="355" t="s">
        <v>1091</v>
      </c>
      <c r="B724" s="355"/>
      <c r="C724" s="355"/>
      <c r="D724" s="355"/>
      <c r="E724" s="355"/>
      <c r="F724" s="355"/>
    </row>
    <row r="725" spans="1:6" ht="37.5" customHeight="1" x14ac:dyDescent="0.3">
      <c r="A725" s="355" t="s">
        <v>1092</v>
      </c>
      <c r="B725" s="355"/>
      <c r="C725" s="355"/>
      <c r="D725" s="355"/>
      <c r="E725" s="355"/>
      <c r="F725" s="355"/>
    </row>
    <row r="726" spans="1:6" ht="54" customHeight="1" x14ac:dyDescent="0.3">
      <c r="A726" s="355" t="s">
        <v>1093</v>
      </c>
      <c r="B726" s="355"/>
      <c r="C726" s="355"/>
      <c r="D726" s="355"/>
      <c r="E726" s="355"/>
      <c r="F726" s="355"/>
    </row>
    <row r="727" spans="1:6" ht="21.75" customHeight="1" x14ac:dyDescent="0.3">
      <c r="A727" s="355" t="s">
        <v>1094</v>
      </c>
      <c r="B727" s="355"/>
      <c r="C727" s="355"/>
      <c r="D727" s="355"/>
      <c r="E727" s="355"/>
      <c r="F727" s="355"/>
    </row>
    <row r="728" spans="1:6" ht="54" customHeight="1" x14ac:dyDescent="0.3">
      <c r="A728" s="355" t="s">
        <v>1095</v>
      </c>
      <c r="B728" s="355"/>
      <c r="C728" s="355"/>
      <c r="D728" s="355"/>
      <c r="E728" s="355"/>
      <c r="F728" s="355"/>
    </row>
    <row r="729" spans="1:6" ht="37.5" customHeight="1" x14ac:dyDescent="0.3">
      <c r="A729" s="355" t="s">
        <v>1096</v>
      </c>
      <c r="B729" s="355"/>
      <c r="C729" s="355"/>
      <c r="D729" s="355"/>
      <c r="E729" s="355"/>
      <c r="F729" s="355"/>
    </row>
    <row r="730" spans="1:6" ht="54" customHeight="1" x14ac:dyDescent="0.3">
      <c r="A730" s="355" t="s">
        <v>1097</v>
      </c>
      <c r="B730" s="355"/>
      <c r="C730" s="355"/>
      <c r="D730" s="355"/>
      <c r="E730" s="355"/>
      <c r="F730" s="355"/>
    </row>
    <row r="731" spans="1:6" ht="21.75" customHeight="1" x14ac:dyDescent="0.3">
      <c r="A731" s="355" t="s">
        <v>1098</v>
      </c>
      <c r="B731" s="355"/>
      <c r="C731" s="355"/>
      <c r="D731" s="355"/>
      <c r="E731" s="355"/>
      <c r="F731" s="355"/>
    </row>
    <row r="732" spans="1:6" ht="21.75" customHeight="1" x14ac:dyDescent="0.3">
      <c r="A732" s="355" t="s">
        <v>1099</v>
      </c>
      <c r="B732" s="355"/>
      <c r="C732" s="355"/>
      <c r="D732" s="355"/>
      <c r="E732" s="355"/>
      <c r="F732" s="355"/>
    </row>
    <row r="733" spans="1:6" ht="21.75" customHeight="1" x14ac:dyDescent="0.3">
      <c r="A733" s="355" t="s">
        <v>1100</v>
      </c>
      <c r="B733" s="355"/>
      <c r="C733" s="355"/>
      <c r="D733" s="355"/>
      <c r="E733" s="355"/>
      <c r="F733" s="355"/>
    </row>
    <row r="734" spans="1:6" ht="21.75" customHeight="1" x14ac:dyDescent="0.3">
      <c r="A734" s="355" t="s">
        <v>1101</v>
      </c>
      <c r="B734" s="355"/>
      <c r="C734" s="355"/>
      <c r="D734" s="355"/>
      <c r="E734" s="355"/>
      <c r="F734" s="355"/>
    </row>
    <row r="735" spans="1:6" ht="54" customHeight="1" x14ac:dyDescent="0.3">
      <c r="A735" s="355" t="s">
        <v>1102</v>
      </c>
      <c r="B735" s="355"/>
      <c r="C735" s="355"/>
      <c r="D735" s="355"/>
      <c r="E735" s="355"/>
      <c r="F735" s="355"/>
    </row>
    <row r="736" spans="1:6" ht="37.5" customHeight="1" x14ac:dyDescent="0.3">
      <c r="A736" s="356" t="s">
        <v>481</v>
      </c>
      <c r="B736" s="356"/>
      <c r="C736" s="356"/>
      <c r="D736" s="356"/>
      <c r="E736" s="356"/>
      <c r="F736" s="356"/>
    </row>
    <row r="737" spans="1:6" ht="117.75" customHeight="1" x14ac:dyDescent="0.3">
      <c r="A737" s="355" t="s">
        <v>1103</v>
      </c>
      <c r="B737" s="355"/>
      <c r="C737" s="355"/>
      <c r="D737" s="355"/>
      <c r="E737" s="355"/>
      <c r="F737" s="355"/>
    </row>
    <row r="738" spans="1:6" ht="85.5" customHeight="1" x14ac:dyDescent="0.3">
      <c r="A738" s="355" t="s">
        <v>1104</v>
      </c>
      <c r="B738" s="355"/>
      <c r="C738" s="355"/>
      <c r="D738" s="355"/>
      <c r="E738" s="355"/>
      <c r="F738" s="355"/>
    </row>
    <row r="739" spans="1:6" ht="21.75" customHeight="1" x14ac:dyDescent="0.3">
      <c r="A739" s="355" t="s">
        <v>1105</v>
      </c>
      <c r="B739" s="355"/>
      <c r="C739" s="355"/>
      <c r="D739" s="355"/>
      <c r="E739" s="355"/>
      <c r="F739" s="355"/>
    </row>
    <row r="740" spans="1:6" ht="37.5" customHeight="1" x14ac:dyDescent="0.3">
      <c r="A740" s="355" t="s">
        <v>1106</v>
      </c>
      <c r="B740" s="355"/>
      <c r="C740" s="355"/>
      <c r="D740" s="355"/>
      <c r="E740" s="355"/>
      <c r="F740" s="355"/>
    </row>
    <row r="741" spans="1:6" ht="21.75" customHeight="1" x14ac:dyDescent="0.3">
      <c r="A741" s="356" t="s">
        <v>483</v>
      </c>
      <c r="B741" s="356"/>
      <c r="C741" s="356"/>
      <c r="D741" s="356"/>
      <c r="E741" s="356"/>
      <c r="F741" s="356"/>
    </row>
    <row r="742" spans="1:6" ht="69.75" customHeight="1" x14ac:dyDescent="0.3">
      <c r="A742" s="355" t="s">
        <v>1107</v>
      </c>
      <c r="B742" s="355"/>
      <c r="C742" s="355"/>
      <c r="D742" s="355"/>
      <c r="E742" s="355"/>
      <c r="F742" s="355"/>
    </row>
    <row r="743" spans="1:6" ht="37.5" customHeight="1" x14ac:dyDescent="0.3">
      <c r="A743" s="355" t="s">
        <v>1108</v>
      </c>
      <c r="B743" s="355"/>
      <c r="C743" s="355"/>
      <c r="D743" s="355"/>
      <c r="E743" s="355"/>
      <c r="F743" s="355"/>
    </row>
    <row r="744" spans="1:6" ht="54" customHeight="1" x14ac:dyDescent="0.3">
      <c r="A744" s="355" t="s">
        <v>1109</v>
      </c>
      <c r="B744" s="355"/>
      <c r="C744" s="355"/>
      <c r="D744" s="355"/>
      <c r="E744" s="355"/>
      <c r="F744" s="355"/>
    </row>
    <row r="745" spans="1:6" ht="54" customHeight="1" x14ac:dyDescent="0.3">
      <c r="A745" s="355" t="s">
        <v>1110</v>
      </c>
      <c r="B745" s="355"/>
      <c r="C745" s="355"/>
      <c r="D745" s="355"/>
      <c r="E745" s="355"/>
      <c r="F745" s="355"/>
    </row>
    <row r="746" spans="1:6" ht="21.75" customHeight="1" x14ac:dyDescent="0.3">
      <c r="A746" s="356" t="s">
        <v>484</v>
      </c>
      <c r="B746" s="356"/>
      <c r="C746" s="356"/>
      <c r="D746" s="356"/>
      <c r="E746" s="356"/>
      <c r="F746" s="356"/>
    </row>
    <row r="747" spans="1:6" ht="117.75" customHeight="1" x14ac:dyDescent="0.3">
      <c r="A747" s="355" t="s">
        <v>1111</v>
      </c>
      <c r="B747" s="355"/>
      <c r="C747" s="355"/>
      <c r="D747" s="355"/>
      <c r="E747" s="355"/>
      <c r="F747" s="355"/>
    </row>
    <row r="748" spans="1:6" ht="21.75" customHeight="1" x14ac:dyDescent="0.3">
      <c r="A748" s="355" t="s">
        <v>1112</v>
      </c>
      <c r="B748" s="355"/>
      <c r="C748" s="355"/>
      <c r="D748" s="355"/>
      <c r="E748" s="355"/>
      <c r="F748" s="355"/>
    </row>
    <row r="749" spans="1:6" ht="54" customHeight="1" x14ac:dyDescent="0.3">
      <c r="A749" s="355" t="s">
        <v>1113</v>
      </c>
      <c r="B749" s="355"/>
      <c r="C749" s="355"/>
      <c r="D749" s="355"/>
      <c r="E749" s="355"/>
      <c r="F749" s="355"/>
    </row>
    <row r="750" spans="1:6" ht="37.5" customHeight="1" x14ac:dyDescent="0.3">
      <c r="A750" s="355" t="s">
        <v>1114</v>
      </c>
      <c r="B750" s="355"/>
      <c r="C750" s="355"/>
      <c r="D750" s="355"/>
      <c r="E750" s="355"/>
      <c r="F750" s="355"/>
    </row>
    <row r="751" spans="1:6" ht="69.75" customHeight="1" x14ac:dyDescent="0.3">
      <c r="A751" s="355" t="s">
        <v>1115</v>
      </c>
      <c r="B751" s="355"/>
      <c r="C751" s="355"/>
      <c r="D751" s="355"/>
      <c r="E751" s="355"/>
      <c r="F751" s="355"/>
    </row>
    <row r="752" spans="1:6" ht="165.75" customHeight="1" x14ac:dyDescent="0.3">
      <c r="A752" s="355" t="s">
        <v>1116</v>
      </c>
      <c r="B752" s="355"/>
      <c r="C752" s="355"/>
      <c r="D752" s="355"/>
      <c r="E752" s="355"/>
      <c r="F752" s="355"/>
    </row>
    <row r="753" spans="1:6" ht="21.75" customHeight="1" x14ac:dyDescent="0.3">
      <c r="A753" s="356" t="s">
        <v>485</v>
      </c>
      <c r="B753" s="356"/>
      <c r="C753" s="356"/>
      <c r="D753" s="356"/>
      <c r="E753" s="356"/>
      <c r="F753" s="356"/>
    </row>
    <row r="754" spans="1:6" ht="21.75" customHeight="1" x14ac:dyDescent="0.3">
      <c r="A754" s="355" t="s">
        <v>1117</v>
      </c>
      <c r="B754" s="355"/>
      <c r="C754" s="355"/>
      <c r="D754" s="355"/>
      <c r="E754" s="355"/>
      <c r="F754" s="355"/>
    </row>
    <row r="755" spans="1:6" ht="54" customHeight="1" x14ac:dyDescent="0.3">
      <c r="A755" s="355" t="s">
        <v>1118</v>
      </c>
      <c r="B755" s="355"/>
      <c r="C755" s="355"/>
      <c r="D755" s="355"/>
      <c r="E755" s="355"/>
      <c r="F755" s="355"/>
    </row>
    <row r="756" spans="1:6" ht="54" customHeight="1" x14ac:dyDescent="0.3">
      <c r="A756" s="355" t="s">
        <v>1119</v>
      </c>
      <c r="B756" s="355"/>
      <c r="C756" s="355"/>
      <c r="D756" s="355"/>
      <c r="E756" s="355"/>
      <c r="F756" s="355"/>
    </row>
    <row r="757" spans="1:6" ht="54" customHeight="1" x14ac:dyDescent="0.3">
      <c r="A757" s="355" t="s">
        <v>1120</v>
      </c>
      <c r="B757" s="355"/>
      <c r="C757" s="355"/>
      <c r="D757" s="355"/>
      <c r="E757" s="355"/>
      <c r="F757" s="355"/>
    </row>
    <row r="758" spans="1:6" ht="37.5" customHeight="1" x14ac:dyDescent="0.3">
      <c r="A758" s="355" t="s">
        <v>1121</v>
      </c>
      <c r="B758" s="355"/>
      <c r="C758" s="355"/>
      <c r="D758" s="355"/>
      <c r="E758" s="355"/>
      <c r="F758" s="355"/>
    </row>
    <row r="759" spans="1:6" ht="37.5" customHeight="1" x14ac:dyDescent="0.3">
      <c r="A759" s="355" t="s">
        <v>1122</v>
      </c>
      <c r="B759" s="355"/>
      <c r="C759" s="355"/>
      <c r="D759" s="355"/>
      <c r="E759" s="355"/>
      <c r="F759" s="355"/>
    </row>
    <row r="760" spans="1:6" ht="54" customHeight="1" x14ac:dyDescent="0.3">
      <c r="A760" s="355" t="s">
        <v>1123</v>
      </c>
      <c r="B760" s="355"/>
      <c r="C760" s="355"/>
      <c r="D760" s="355"/>
      <c r="E760" s="355"/>
      <c r="F760" s="355"/>
    </row>
    <row r="761" spans="1:6" ht="85.5" customHeight="1" x14ac:dyDescent="0.3">
      <c r="A761" s="355" t="s">
        <v>1124</v>
      </c>
      <c r="B761" s="355"/>
      <c r="C761" s="355"/>
      <c r="D761" s="355"/>
      <c r="E761" s="355"/>
      <c r="F761" s="355"/>
    </row>
    <row r="762" spans="1:6" ht="21.75" customHeight="1" x14ac:dyDescent="0.3">
      <c r="A762" s="355" t="s">
        <v>1125</v>
      </c>
      <c r="B762" s="355"/>
      <c r="C762" s="355"/>
      <c r="D762" s="355"/>
      <c r="E762" s="355"/>
      <c r="F762" s="355"/>
    </row>
    <row r="763" spans="1:6" ht="21.75" customHeight="1" x14ac:dyDescent="0.3">
      <c r="A763" s="356" t="s">
        <v>486</v>
      </c>
      <c r="B763" s="356"/>
      <c r="C763" s="356"/>
      <c r="D763" s="356"/>
      <c r="E763" s="356"/>
      <c r="F763" s="356"/>
    </row>
    <row r="764" spans="1:6" ht="21.75" customHeight="1" x14ac:dyDescent="0.3">
      <c r="A764" s="355" t="s">
        <v>1126</v>
      </c>
      <c r="B764" s="355"/>
      <c r="C764" s="355"/>
      <c r="D764" s="355"/>
      <c r="E764" s="355"/>
      <c r="F764" s="355"/>
    </row>
    <row r="765" spans="1:6" ht="54" customHeight="1" x14ac:dyDescent="0.3">
      <c r="A765" s="355" t="s">
        <v>1127</v>
      </c>
      <c r="B765" s="355"/>
      <c r="C765" s="355"/>
      <c r="D765" s="355"/>
      <c r="E765" s="355"/>
      <c r="F765" s="355"/>
    </row>
    <row r="766" spans="1:6" ht="54" customHeight="1" x14ac:dyDescent="0.3">
      <c r="A766" s="355" t="s">
        <v>1128</v>
      </c>
      <c r="B766" s="355"/>
      <c r="C766" s="355"/>
      <c r="D766" s="355"/>
      <c r="E766" s="355"/>
      <c r="F766" s="355"/>
    </row>
    <row r="767" spans="1:6" ht="85.5" customHeight="1" x14ac:dyDescent="0.3">
      <c r="A767" s="355" t="s">
        <v>1129</v>
      </c>
      <c r="B767" s="355"/>
      <c r="C767" s="355"/>
      <c r="D767" s="355"/>
      <c r="E767" s="355"/>
      <c r="F767" s="355"/>
    </row>
    <row r="768" spans="1:6" ht="102" customHeight="1" x14ac:dyDescent="0.3">
      <c r="A768" s="355" t="s">
        <v>1130</v>
      </c>
      <c r="B768" s="355"/>
      <c r="C768" s="355"/>
      <c r="D768" s="355"/>
      <c r="E768" s="355"/>
      <c r="F768" s="355"/>
    </row>
    <row r="769" spans="1:6" ht="21.75" customHeight="1" x14ac:dyDescent="0.3">
      <c r="A769" s="355" t="s">
        <v>1131</v>
      </c>
      <c r="B769" s="355"/>
      <c r="C769" s="355"/>
      <c r="D769" s="355"/>
      <c r="E769" s="355"/>
      <c r="F769" s="355"/>
    </row>
    <row r="770" spans="1:6" ht="117.75" customHeight="1" x14ac:dyDescent="0.3">
      <c r="A770" s="355" t="s">
        <v>1132</v>
      </c>
      <c r="B770" s="355"/>
      <c r="C770" s="355"/>
      <c r="D770" s="355"/>
      <c r="E770" s="355"/>
      <c r="F770" s="355"/>
    </row>
    <row r="771" spans="1:6" ht="54" customHeight="1" x14ac:dyDescent="0.3">
      <c r="A771" s="355" t="s">
        <v>1133</v>
      </c>
      <c r="B771" s="355"/>
      <c r="C771" s="355"/>
      <c r="D771" s="355"/>
      <c r="E771" s="355"/>
      <c r="F771" s="355"/>
    </row>
    <row r="772" spans="1:6" ht="69.75" customHeight="1" x14ac:dyDescent="0.3">
      <c r="A772" s="355" t="s">
        <v>1134</v>
      </c>
      <c r="B772" s="355"/>
      <c r="C772" s="355"/>
      <c r="D772" s="355"/>
      <c r="E772" s="355"/>
      <c r="F772" s="355"/>
    </row>
    <row r="773" spans="1:6" ht="133.5" customHeight="1" x14ac:dyDescent="0.3">
      <c r="A773" s="355" t="s">
        <v>1135</v>
      </c>
      <c r="B773" s="355"/>
      <c r="C773" s="355"/>
      <c r="D773" s="355"/>
      <c r="E773" s="355"/>
      <c r="F773" s="355"/>
    </row>
    <row r="774" spans="1:6" ht="85.5" customHeight="1" x14ac:dyDescent="0.3">
      <c r="A774" s="355" t="s">
        <v>1136</v>
      </c>
      <c r="B774" s="355"/>
      <c r="C774" s="355"/>
      <c r="D774" s="355"/>
      <c r="E774" s="355"/>
      <c r="F774" s="355"/>
    </row>
    <row r="775" spans="1:6" ht="54" customHeight="1" x14ac:dyDescent="0.3">
      <c r="A775" s="355" t="s">
        <v>1137</v>
      </c>
      <c r="B775" s="355"/>
      <c r="C775" s="355"/>
      <c r="D775" s="355"/>
      <c r="E775" s="355"/>
      <c r="F775" s="355"/>
    </row>
    <row r="776" spans="1:6" ht="21.75" customHeight="1" x14ac:dyDescent="0.3">
      <c r="A776" s="355" t="s">
        <v>1138</v>
      </c>
      <c r="B776" s="355"/>
      <c r="C776" s="355"/>
      <c r="D776" s="355"/>
      <c r="E776" s="355"/>
      <c r="F776" s="355"/>
    </row>
    <row r="777" spans="1:6" ht="102" customHeight="1" x14ac:dyDescent="0.3">
      <c r="A777" s="355" t="s">
        <v>1139</v>
      </c>
      <c r="B777" s="355"/>
      <c r="C777" s="355"/>
      <c r="D777" s="355"/>
      <c r="E777" s="355"/>
      <c r="F777" s="355"/>
    </row>
    <row r="778" spans="1:6" ht="69.75" customHeight="1" x14ac:dyDescent="0.3">
      <c r="A778" s="355" t="s">
        <v>1140</v>
      </c>
      <c r="B778" s="355"/>
      <c r="C778" s="355"/>
      <c r="D778" s="355"/>
      <c r="E778" s="355"/>
      <c r="F778" s="355"/>
    </row>
    <row r="779" spans="1:6" ht="37.5" customHeight="1" x14ac:dyDescent="0.3">
      <c r="A779" s="355" t="s">
        <v>1141</v>
      </c>
      <c r="B779" s="355"/>
      <c r="C779" s="355"/>
      <c r="D779" s="355"/>
      <c r="E779" s="355"/>
      <c r="F779" s="355"/>
    </row>
    <row r="780" spans="1:6" ht="54" customHeight="1" x14ac:dyDescent="0.3">
      <c r="A780" s="355" t="s">
        <v>1142</v>
      </c>
      <c r="B780" s="355"/>
      <c r="C780" s="355"/>
      <c r="D780" s="355"/>
      <c r="E780" s="355"/>
      <c r="F780" s="355"/>
    </row>
    <row r="781" spans="1:6" ht="37.5" customHeight="1" x14ac:dyDescent="0.3">
      <c r="A781" s="355" t="s">
        <v>1143</v>
      </c>
      <c r="B781" s="355"/>
      <c r="C781" s="355"/>
      <c r="D781" s="355"/>
      <c r="E781" s="355"/>
      <c r="F781" s="355"/>
    </row>
    <row r="782" spans="1:6" ht="37.5" customHeight="1" x14ac:dyDescent="0.3">
      <c r="A782" s="355" t="s">
        <v>1144</v>
      </c>
      <c r="B782" s="355"/>
      <c r="C782" s="355"/>
      <c r="D782" s="355"/>
      <c r="E782" s="355"/>
      <c r="F782" s="355"/>
    </row>
    <row r="783" spans="1:6" ht="102" customHeight="1" x14ac:dyDescent="0.3">
      <c r="A783" s="355" t="s">
        <v>1145</v>
      </c>
      <c r="B783" s="355"/>
      <c r="C783" s="355"/>
      <c r="D783" s="355"/>
      <c r="E783" s="355"/>
      <c r="F783" s="355"/>
    </row>
    <row r="784" spans="1:6" ht="102" customHeight="1" x14ac:dyDescent="0.3">
      <c r="A784" s="355" t="s">
        <v>1146</v>
      </c>
      <c r="B784" s="355"/>
      <c r="C784" s="355"/>
      <c r="D784" s="355"/>
      <c r="E784" s="355"/>
      <c r="F784" s="355"/>
    </row>
    <row r="785" spans="1:6" ht="21.75" customHeight="1" x14ac:dyDescent="0.3">
      <c r="A785" s="355" t="s">
        <v>1147</v>
      </c>
      <c r="B785" s="355"/>
      <c r="C785" s="355"/>
      <c r="D785" s="355"/>
      <c r="E785" s="355"/>
      <c r="F785" s="355"/>
    </row>
    <row r="786" spans="1:6" ht="37.5" customHeight="1" x14ac:dyDescent="0.3">
      <c r="A786" s="355" t="s">
        <v>1148</v>
      </c>
      <c r="B786" s="355"/>
      <c r="C786" s="355"/>
      <c r="D786" s="355"/>
      <c r="E786" s="355"/>
      <c r="F786" s="355"/>
    </row>
    <row r="787" spans="1:6" ht="54" customHeight="1" x14ac:dyDescent="0.3">
      <c r="A787" s="355" t="s">
        <v>1149</v>
      </c>
      <c r="B787" s="355"/>
      <c r="C787" s="355"/>
      <c r="D787" s="355"/>
      <c r="E787" s="355"/>
      <c r="F787" s="355"/>
    </row>
    <row r="788" spans="1:6" ht="21.75" customHeight="1" x14ac:dyDescent="0.3">
      <c r="A788" s="356" t="s">
        <v>487</v>
      </c>
      <c r="B788" s="356"/>
      <c r="C788" s="356"/>
      <c r="D788" s="356"/>
      <c r="E788" s="356"/>
      <c r="F788" s="356"/>
    </row>
    <row r="789" spans="1:6" ht="37.5" customHeight="1" x14ac:dyDescent="0.3">
      <c r="A789" s="355" t="s">
        <v>1150</v>
      </c>
      <c r="B789" s="355"/>
      <c r="C789" s="355"/>
      <c r="D789" s="355"/>
      <c r="E789" s="355"/>
      <c r="F789" s="355"/>
    </row>
    <row r="790" spans="1:6" ht="21.75" customHeight="1" x14ac:dyDescent="0.3">
      <c r="A790" s="356" t="s">
        <v>1151</v>
      </c>
      <c r="B790" s="356"/>
      <c r="C790" s="356"/>
      <c r="D790" s="356"/>
      <c r="E790" s="356"/>
      <c r="F790" s="356"/>
    </row>
    <row r="791" spans="1:6" ht="37.5" customHeight="1" x14ac:dyDescent="0.3">
      <c r="A791" s="355" t="s">
        <v>1152</v>
      </c>
      <c r="B791" s="355"/>
      <c r="C791" s="355"/>
      <c r="D791" s="355"/>
      <c r="E791" s="355"/>
      <c r="F791" s="355"/>
    </row>
    <row r="792" spans="1:6" ht="21.75" customHeight="1" x14ac:dyDescent="0.3">
      <c r="A792" s="355" t="s">
        <v>1153</v>
      </c>
      <c r="B792" s="355"/>
      <c r="C792" s="355"/>
      <c r="D792" s="355"/>
      <c r="E792" s="355"/>
      <c r="F792" s="355"/>
    </row>
    <row r="793" spans="1:6" ht="21.75" customHeight="1" x14ac:dyDescent="0.3">
      <c r="A793" s="355" t="s">
        <v>1154</v>
      </c>
      <c r="B793" s="355"/>
      <c r="C793" s="355"/>
      <c r="D793" s="355"/>
      <c r="E793" s="355"/>
      <c r="F793" s="355"/>
    </row>
    <row r="794" spans="1:6" ht="102" customHeight="1" x14ac:dyDescent="0.3">
      <c r="A794" s="355" t="s">
        <v>1155</v>
      </c>
      <c r="B794" s="355"/>
      <c r="C794" s="355"/>
      <c r="D794" s="355"/>
      <c r="E794" s="355"/>
      <c r="F794" s="355"/>
    </row>
    <row r="795" spans="1:6" ht="21.75" customHeight="1" x14ac:dyDescent="0.3">
      <c r="A795" s="355" t="s">
        <v>1156</v>
      </c>
      <c r="B795" s="355"/>
      <c r="C795" s="355"/>
      <c r="D795" s="355"/>
      <c r="E795" s="355"/>
      <c r="F795" s="355"/>
    </row>
    <row r="796" spans="1:6" ht="37.5" customHeight="1" x14ac:dyDescent="0.3">
      <c r="A796" s="355" t="s">
        <v>1157</v>
      </c>
      <c r="B796" s="355"/>
      <c r="C796" s="355"/>
      <c r="D796" s="355"/>
      <c r="E796" s="355"/>
      <c r="F796" s="355"/>
    </row>
    <row r="797" spans="1:6" ht="85.5" customHeight="1" x14ac:dyDescent="0.3">
      <c r="A797" s="355" t="s">
        <v>1158</v>
      </c>
      <c r="B797" s="355"/>
      <c r="C797" s="355"/>
      <c r="D797" s="355"/>
      <c r="E797" s="355"/>
      <c r="F797" s="355"/>
    </row>
    <row r="798" spans="1:6" ht="54" customHeight="1" x14ac:dyDescent="0.3">
      <c r="A798" s="355" t="s">
        <v>1159</v>
      </c>
      <c r="B798" s="355"/>
      <c r="C798" s="355"/>
      <c r="D798" s="355"/>
      <c r="E798" s="355"/>
      <c r="F798" s="355"/>
    </row>
    <row r="799" spans="1:6" ht="54" customHeight="1" x14ac:dyDescent="0.3">
      <c r="A799" s="355" t="s">
        <v>1160</v>
      </c>
      <c r="B799" s="355"/>
      <c r="C799" s="355"/>
      <c r="D799" s="355"/>
      <c r="E799" s="355"/>
      <c r="F799" s="355"/>
    </row>
    <row r="800" spans="1:6" ht="85.5" customHeight="1" x14ac:dyDescent="0.3">
      <c r="A800" s="355" t="s">
        <v>1161</v>
      </c>
      <c r="B800" s="355"/>
      <c r="C800" s="355"/>
      <c r="D800" s="355"/>
      <c r="E800" s="355"/>
      <c r="F800" s="355"/>
    </row>
    <row r="801" spans="1:6" ht="69.75" customHeight="1" x14ac:dyDescent="0.3">
      <c r="A801" s="355" t="s">
        <v>1162</v>
      </c>
      <c r="B801" s="355"/>
      <c r="C801" s="355"/>
      <c r="D801" s="355"/>
      <c r="E801" s="355"/>
      <c r="F801" s="355"/>
    </row>
    <row r="802" spans="1:6" ht="117.75" customHeight="1" x14ac:dyDescent="0.3">
      <c r="A802" s="355" t="s">
        <v>1163</v>
      </c>
      <c r="B802" s="355"/>
      <c r="C802" s="355"/>
      <c r="D802" s="355"/>
      <c r="E802" s="355"/>
      <c r="F802" s="355"/>
    </row>
    <row r="803" spans="1:6" ht="37.5" customHeight="1" x14ac:dyDescent="0.3">
      <c r="A803" s="355" t="s">
        <v>1164</v>
      </c>
      <c r="B803" s="355"/>
      <c r="C803" s="355"/>
      <c r="D803" s="355"/>
      <c r="E803" s="355"/>
      <c r="F803" s="355"/>
    </row>
    <row r="804" spans="1:6" ht="54" customHeight="1" x14ac:dyDescent="0.3">
      <c r="A804" s="355" t="s">
        <v>1165</v>
      </c>
      <c r="B804" s="355"/>
      <c r="C804" s="355"/>
      <c r="D804" s="355"/>
      <c r="E804" s="355"/>
      <c r="F804" s="355"/>
    </row>
    <row r="805" spans="1:6" ht="54" customHeight="1" x14ac:dyDescent="0.3">
      <c r="A805" s="355" t="s">
        <v>1166</v>
      </c>
      <c r="B805" s="355"/>
      <c r="C805" s="355"/>
      <c r="D805" s="355"/>
      <c r="E805" s="355"/>
      <c r="F805" s="355"/>
    </row>
    <row r="806" spans="1:6" ht="69.75" customHeight="1" x14ac:dyDescent="0.3">
      <c r="A806" s="355" t="s">
        <v>1167</v>
      </c>
      <c r="B806" s="355"/>
      <c r="C806" s="355"/>
      <c r="D806" s="355"/>
      <c r="E806" s="355"/>
      <c r="F806" s="355"/>
    </row>
    <row r="807" spans="1:6" ht="37.5" customHeight="1" x14ac:dyDescent="0.3">
      <c r="A807" s="355" t="s">
        <v>1168</v>
      </c>
      <c r="B807" s="355"/>
      <c r="C807" s="355"/>
      <c r="D807" s="355"/>
      <c r="E807" s="355"/>
      <c r="F807" s="355"/>
    </row>
    <row r="808" spans="1:6" ht="21.75" customHeight="1" x14ac:dyDescent="0.3">
      <c r="A808" s="356" t="s">
        <v>488</v>
      </c>
      <c r="B808" s="356"/>
      <c r="C808" s="356"/>
      <c r="D808" s="356"/>
      <c r="E808" s="356"/>
      <c r="F808" s="356"/>
    </row>
    <row r="809" spans="1:6" ht="37.5" customHeight="1" x14ac:dyDescent="0.3">
      <c r="A809" s="355" t="s">
        <v>1169</v>
      </c>
      <c r="B809" s="355"/>
      <c r="C809" s="355"/>
      <c r="D809" s="355"/>
      <c r="E809" s="355"/>
      <c r="F809" s="355"/>
    </row>
    <row r="810" spans="1:6" ht="54" customHeight="1" x14ac:dyDescent="0.3">
      <c r="A810" s="355" t="s">
        <v>1170</v>
      </c>
      <c r="B810" s="355"/>
      <c r="C810" s="355"/>
      <c r="D810" s="355"/>
      <c r="E810" s="355"/>
      <c r="F810" s="355"/>
    </row>
    <row r="811" spans="1:6" ht="54" customHeight="1" x14ac:dyDescent="0.3">
      <c r="A811" s="355" t="s">
        <v>1171</v>
      </c>
      <c r="B811" s="355"/>
      <c r="C811" s="355"/>
      <c r="D811" s="355"/>
      <c r="E811" s="355"/>
      <c r="F811" s="355"/>
    </row>
    <row r="812" spans="1:6" ht="21.75" customHeight="1" x14ac:dyDescent="0.3">
      <c r="A812" s="356" t="s">
        <v>489</v>
      </c>
      <c r="B812" s="356"/>
      <c r="C812" s="356"/>
      <c r="D812" s="356"/>
      <c r="E812" s="356"/>
      <c r="F812" s="356"/>
    </row>
    <row r="813" spans="1:6" ht="21.75" customHeight="1" x14ac:dyDescent="0.3">
      <c r="A813" s="355" t="s">
        <v>1172</v>
      </c>
      <c r="B813" s="355"/>
      <c r="C813" s="355"/>
      <c r="D813" s="355"/>
      <c r="E813" s="355"/>
      <c r="F813" s="355"/>
    </row>
    <row r="814" spans="1:6" ht="37.5" customHeight="1" x14ac:dyDescent="0.3">
      <c r="A814" s="355" t="s">
        <v>1173</v>
      </c>
      <c r="B814" s="355"/>
      <c r="C814" s="355"/>
      <c r="D814" s="355"/>
      <c r="E814" s="355"/>
      <c r="F814" s="355"/>
    </row>
    <row r="815" spans="1:6" ht="37.5" customHeight="1" x14ac:dyDescent="0.3">
      <c r="A815" s="355" t="s">
        <v>1174</v>
      </c>
      <c r="B815" s="355"/>
      <c r="C815" s="355"/>
      <c r="D815" s="355"/>
      <c r="E815" s="355"/>
      <c r="F815" s="355"/>
    </row>
    <row r="816" spans="1:6" ht="21.75" customHeight="1" x14ac:dyDescent="0.3">
      <c r="A816" s="355" t="s">
        <v>1175</v>
      </c>
      <c r="B816" s="355"/>
      <c r="C816" s="355"/>
      <c r="D816" s="355"/>
      <c r="E816" s="355"/>
      <c r="F816" s="355"/>
    </row>
    <row r="817" spans="1:6" ht="21.75" customHeight="1" x14ac:dyDescent="0.3">
      <c r="A817" s="355" t="s">
        <v>1176</v>
      </c>
      <c r="B817" s="355"/>
      <c r="C817" s="355"/>
      <c r="D817" s="355"/>
      <c r="E817" s="355"/>
      <c r="F817" s="355"/>
    </row>
    <row r="818" spans="1:6" ht="54" customHeight="1" x14ac:dyDescent="0.3">
      <c r="A818" s="355" t="s">
        <v>1177</v>
      </c>
      <c r="B818" s="355"/>
      <c r="C818" s="355"/>
      <c r="D818" s="355"/>
      <c r="E818" s="355"/>
      <c r="F818" s="355"/>
    </row>
    <row r="819" spans="1:6" ht="21.75" customHeight="1" x14ac:dyDescent="0.3">
      <c r="A819" s="355" t="s">
        <v>1178</v>
      </c>
      <c r="B819" s="355"/>
      <c r="C819" s="355"/>
      <c r="D819" s="355"/>
      <c r="E819" s="355"/>
      <c r="F819" s="355"/>
    </row>
    <row r="820" spans="1:6" ht="69.75" customHeight="1" x14ac:dyDescent="0.3">
      <c r="A820" s="355" t="s">
        <v>1179</v>
      </c>
      <c r="B820" s="355"/>
      <c r="C820" s="355"/>
      <c r="D820" s="355"/>
      <c r="E820" s="355"/>
      <c r="F820" s="355"/>
    </row>
    <row r="821" spans="1:6" ht="37.5" customHeight="1" x14ac:dyDescent="0.3">
      <c r="A821" s="355" t="s">
        <v>1180</v>
      </c>
      <c r="B821" s="355"/>
      <c r="C821" s="355"/>
      <c r="D821" s="355"/>
      <c r="E821" s="355"/>
      <c r="F821" s="355"/>
    </row>
    <row r="822" spans="1:6" ht="69.75" customHeight="1" x14ac:dyDescent="0.3">
      <c r="A822" s="355" t="s">
        <v>1181</v>
      </c>
      <c r="B822" s="355"/>
      <c r="C822" s="355"/>
      <c r="D822" s="355"/>
      <c r="E822" s="355"/>
      <c r="F822" s="355"/>
    </row>
    <row r="823" spans="1:6" ht="133.5" customHeight="1" x14ac:dyDescent="0.3">
      <c r="A823" s="355" t="s">
        <v>1182</v>
      </c>
      <c r="B823" s="355"/>
      <c r="C823" s="355"/>
      <c r="D823" s="355"/>
      <c r="E823" s="355"/>
      <c r="F823" s="355"/>
    </row>
    <row r="824" spans="1:6" ht="21.75" customHeight="1" x14ac:dyDescent="0.3">
      <c r="A824" s="356" t="s">
        <v>490</v>
      </c>
      <c r="B824" s="356"/>
      <c r="C824" s="356"/>
      <c r="D824" s="356"/>
      <c r="E824" s="356"/>
      <c r="F824" s="356"/>
    </row>
    <row r="825" spans="1:6" ht="69.75" customHeight="1" x14ac:dyDescent="0.3">
      <c r="A825" s="355" t="s">
        <v>1183</v>
      </c>
      <c r="B825" s="355"/>
      <c r="C825" s="355"/>
      <c r="D825" s="355"/>
      <c r="E825" s="355"/>
      <c r="F825" s="355"/>
    </row>
    <row r="826" spans="1:6" ht="21.75" customHeight="1" x14ac:dyDescent="0.3">
      <c r="A826" s="355" t="s">
        <v>1184</v>
      </c>
      <c r="B826" s="355"/>
      <c r="C826" s="355"/>
      <c r="D826" s="355"/>
      <c r="E826" s="355"/>
      <c r="F826" s="355"/>
    </row>
    <row r="827" spans="1:6" ht="37.5" customHeight="1" x14ac:dyDescent="0.3">
      <c r="A827" s="355" t="s">
        <v>1185</v>
      </c>
      <c r="B827" s="355"/>
      <c r="C827" s="355"/>
      <c r="D827" s="355"/>
      <c r="E827" s="355"/>
      <c r="F827" s="355"/>
    </row>
    <row r="828" spans="1:6" ht="21.75" customHeight="1" x14ac:dyDescent="0.3">
      <c r="A828" s="355" t="s">
        <v>1186</v>
      </c>
      <c r="B828" s="355"/>
      <c r="C828" s="355"/>
      <c r="D828" s="355"/>
      <c r="E828" s="355"/>
      <c r="F828" s="355"/>
    </row>
    <row r="829" spans="1:6" ht="54" customHeight="1" x14ac:dyDescent="0.3">
      <c r="A829" s="355" t="s">
        <v>1187</v>
      </c>
      <c r="B829" s="355"/>
      <c r="C829" s="355"/>
      <c r="D829" s="355"/>
      <c r="E829" s="355"/>
      <c r="F829" s="355"/>
    </row>
    <row r="830" spans="1:6" ht="54" customHeight="1" x14ac:dyDescent="0.3">
      <c r="A830" s="355" t="s">
        <v>1188</v>
      </c>
      <c r="B830" s="355"/>
      <c r="C830" s="355"/>
      <c r="D830" s="355"/>
      <c r="E830" s="355"/>
      <c r="F830" s="355"/>
    </row>
    <row r="831" spans="1:6" ht="69.75" customHeight="1" x14ac:dyDescent="0.3">
      <c r="A831" s="355" t="s">
        <v>1189</v>
      </c>
      <c r="B831" s="355"/>
      <c r="C831" s="355"/>
      <c r="D831" s="355"/>
      <c r="E831" s="355"/>
      <c r="F831" s="355"/>
    </row>
    <row r="833" spans="1:6" ht="21.75" customHeight="1" x14ac:dyDescent="0.3">
      <c r="A833" s="355" t="s">
        <v>1190</v>
      </c>
      <c r="B833" s="355"/>
      <c r="C833" s="355"/>
      <c r="D833" s="355"/>
      <c r="E833" s="355"/>
      <c r="F833" s="355"/>
    </row>
    <row r="834" spans="1:6" ht="37.5" customHeight="1" x14ac:dyDescent="0.3">
      <c r="A834" s="355" t="s">
        <v>1191</v>
      </c>
      <c r="B834" s="355"/>
      <c r="C834" s="355"/>
      <c r="D834" s="355"/>
      <c r="E834" s="355"/>
      <c r="F834" s="355"/>
    </row>
    <row r="835" spans="1:6" ht="37.5" customHeight="1" x14ac:dyDescent="0.3">
      <c r="A835" s="356" t="s">
        <v>1192</v>
      </c>
      <c r="B835" s="356"/>
      <c r="C835" s="356"/>
      <c r="D835" s="356"/>
      <c r="E835" s="356"/>
      <c r="F835" s="356"/>
    </row>
    <row r="836" spans="1:6" ht="37.5" customHeight="1" x14ac:dyDescent="0.3">
      <c r="A836" s="355" t="s">
        <v>1193</v>
      </c>
      <c r="B836" s="355"/>
      <c r="C836" s="355"/>
      <c r="D836" s="355"/>
      <c r="E836" s="355"/>
      <c r="F836" s="355"/>
    </row>
    <row r="837" spans="1:6" ht="54" customHeight="1" x14ac:dyDescent="0.3">
      <c r="A837" s="355" t="s">
        <v>1194</v>
      </c>
      <c r="B837" s="355"/>
      <c r="C837" s="355"/>
      <c r="D837" s="355"/>
      <c r="E837" s="355"/>
      <c r="F837" s="355"/>
    </row>
    <row r="838" spans="1:6" ht="69.75" customHeight="1" x14ac:dyDescent="0.3">
      <c r="A838" s="355" t="s">
        <v>1195</v>
      </c>
      <c r="B838" s="355"/>
      <c r="C838" s="355"/>
      <c r="D838" s="355"/>
      <c r="E838" s="355"/>
      <c r="F838" s="355"/>
    </row>
    <row r="839" spans="1:6" ht="69.75" customHeight="1" x14ac:dyDescent="0.3">
      <c r="A839" s="355" t="s">
        <v>1196</v>
      </c>
      <c r="B839" s="355"/>
      <c r="C839" s="355"/>
      <c r="D839" s="355"/>
      <c r="E839" s="355"/>
      <c r="F839" s="355"/>
    </row>
    <row r="840" spans="1:6" ht="54" customHeight="1" x14ac:dyDescent="0.3">
      <c r="A840" s="355" t="s">
        <v>1197</v>
      </c>
      <c r="B840" s="355"/>
      <c r="C840" s="355"/>
      <c r="D840" s="355"/>
      <c r="E840" s="355"/>
      <c r="F840" s="355"/>
    </row>
    <row r="841" spans="1:6" ht="37.5" customHeight="1" x14ac:dyDescent="0.3">
      <c r="A841" s="355" t="s">
        <v>1198</v>
      </c>
      <c r="B841" s="355"/>
      <c r="C841" s="355"/>
      <c r="D841" s="355"/>
      <c r="E841" s="355"/>
      <c r="F841" s="355"/>
    </row>
    <row r="842" spans="1:6" ht="21.75" customHeight="1" x14ac:dyDescent="0.3">
      <c r="A842" s="355" t="s">
        <v>1199</v>
      </c>
      <c r="B842" s="355"/>
      <c r="C842" s="355"/>
      <c r="D842" s="355"/>
      <c r="E842" s="355"/>
      <c r="F842" s="355"/>
    </row>
    <row r="843" spans="1:6" ht="54" customHeight="1" x14ac:dyDescent="0.3">
      <c r="A843" s="355" t="s">
        <v>1200</v>
      </c>
      <c r="B843" s="355"/>
      <c r="C843" s="355"/>
      <c r="D843" s="355"/>
      <c r="E843" s="355"/>
      <c r="F843" s="355"/>
    </row>
    <row r="844" spans="1:6" ht="69.75" customHeight="1" x14ac:dyDescent="0.3">
      <c r="A844" s="355" t="s">
        <v>1201</v>
      </c>
      <c r="B844" s="355"/>
      <c r="C844" s="355"/>
      <c r="D844" s="355"/>
      <c r="E844" s="355"/>
      <c r="F844" s="355"/>
    </row>
    <row r="845" spans="1:6" ht="85.5" customHeight="1" x14ac:dyDescent="0.3">
      <c r="A845" s="355" t="s">
        <v>1202</v>
      </c>
      <c r="B845" s="355"/>
      <c r="C845" s="355"/>
      <c r="D845" s="355"/>
      <c r="E845" s="355"/>
      <c r="F845" s="355"/>
    </row>
    <row r="846" spans="1:6" ht="54" customHeight="1" x14ac:dyDescent="0.3">
      <c r="A846" s="355" t="s">
        <v>1203</v>
      </c>
      <c r="B846" s="355"/>
      <c r="C846" s="355"/>
      <c r="D846" s="355"/>
      <c r="E846" s="355"/>
      <c r="F846" s="355"/>
    </row>
    <row r="847" spans="1:6" ht="21.75" customHeight="1" x14ac:dyDescent="0.3">
      <c r="A847" s="355" t="s">
        <v>1204</v>
      </c>
      <c r="B847" s="355"/>
      <c r="C847" s="355"/>
      <c r="D847" s="355"/>
      <c r="E847" s="355"/>
      <c r="F847" s="355"/>
    </row>
    <row r="848" spans="1:6" ht="54" customHeight="1" x14ac:dyDescent="0.3">
      <c r="A848" s="355" t="s">
        <v>1205</v>
      </c>
      <c r="B848" s="355"/>
      <c r="C848" s="355"/>
      <c r="D848" s="355"/>
      <c r="E848" s="355"/>
      <c r="F848" s="355"/>
    </row>
    <row r="849" spans="1:6" ht="54" customHeight="1" x14ac:dyDescent="0.3">
      <c r="A849" s="355" t="s">
        <v>1206</v>
      </c>
      <c r="B849" s="355"/>
      <c r="C849" s="355"/>
      <c r="D849" s="355"/>
      <c r="E849" s="355"/>
      <c r="F849" s="355"/>
    </row>
    <row r="850" spans="1:6" ht="69.75" customHeight="1" x14ac:dyDescent="0.3">
      <c r="A850" s="355" t="s">
        <v>1207</v>
      </c>
      <c r="B850" s="355"/>
      <c r="C850" s="355"/>
      <c r="D850" s="355"/>
      <c r="E850" s="355"/>
      <c r="F850" s="355"/>
    </row>
    <row r="851" spans="1:6" ht="102" customHeight="1" x14ac:dyDescent="0.3">
      <c r="A851" s="355" t="s">
        <v>1208</v>
      </c>
      <c r="B851" s="355"/>
      <c r="C851" s="355"/>
      <c r="D851" s="355"/>
      <c r="E851" s="355"/>
      <c r="F851" s="355"/>
    </row>
    <row r="852" spans="1:6" ht="54" customHeight="1" x14ac:dyDescent="0.3">
      <c r="A852" s="355" t="s">
        <v>1209</v>
      </c>
      <c r="B852" s="355"/>
      <c r="C852" s="355"/>
      <c r="D852" s="355"/>
      <c r="E852" s="355"/>
      <c r="F852" s="355"/>
    </row>
    <row r="853" spans="1:6" ht="21.75" customHeight="1" x14ac:dyDescent="0.3">
      <c r="A853" s="356" t="s">
        <v>493</v>
      </c>
      <c r="B853" s="356"/>
      <c r="C853" s="356"/>
      <c r="D853" s="356"/>
      <c r="E853" s="356"/>
      <c r="F853" s="356"/>
    </row>
    <row r="854" spans="1:6" ht="21.75" customHeight="1" x14ac:dyDescent="0.3">
      <c r="A854" s="355" t="s">
        <v>1210</v>
      </c>
      <c r="B854" s="355"/>
      <c r="C854" s="355"/>
      <c r="D854" s="355"/>
      <c r="E854" s="355"/>
      <c r="F854" s="355"/>
    </row>
    <row r="855" spans="1:6" ht="85.5" customHeight="1" x14ac:dyDescent="0.3">
      <c r="A855" s="355" t="s">
        <v>1211</v>
      </c>
      <c r="B855" s="355"/>
      <c r="C855" s="355"/>
      <c r="D855" s="355"/>
      <c r="E855" s="355"/>
      <c r="F855" s="355"/>
    </row>
    <row r="856" spans="1:6" ht="21.75" customHeight="1" x14ac:dyDescent="0.3">
      <c r="A856" s="355" t="s">
        <v>1212</v>
      </c>
      <c r="B856" s="355"/>
      <c r="C856" s="355"/>
      <c r="D856" s="355"/>
      <c r="E856" s="355"/>
      <c r="F856" s="355"/>
    </row>
    <row r="857" spans="1:6" ht="21.75" customHeight="1" x14ac:dyDescent="0.3">
      <c r="A857" s="355" t="s">
        <v>1213</v>
      </c>
      <c r="B857" s="355"/>
      <c r="C857" s="355"/>
      <c r="D857" s="355"/>
      <c r="E857" s="355"/>
      <c r="F857" s="355"/>
    </row>
    <row r="858" spans="1:6" ht="37.5" customHeight="1" x14ac:dyDescent="0.3">
      <c r="A858" s="355" t="s">
        <v>1214</v>
      </c>
      <c r="B858" s="355"/>
      <c r="C858" s="355"/>
      <c r="D858" s="355"/>
      <c r="E858" s="355"/>
      <c r="F858" s="355"/>
    </row>
    <row r="859" spans="1:6" ht="37.5" customHeight="1" x14ac:dyDescent="0.3">
      <c r="A859" s="355" t="s">
        <v>1215</v>
      </c>
      <c r="B859" s="355"/>
      <c r="C859" s="355"/>
      <c r="D859" s="355"/>
      <c r="E859" s="355"/>
      <c r="F859" s="355"/>
    </row>
    <row r="860" spans="1:6" ht="37.5" customHeight="1" x14ac:dyDescent="0.3">
      <c r="A860" s="355" t="s">
        <v>1216</v>
      </c>
      <c r="B860" s="355"/>
      <c r="C860" s="355"/>
      <c r="D860" s="355"/>
      <c r="E860" s="355"/>
      <c r="F860" s="355"/>
    </row>
    <row r="861" spans="1:6" ht="21.75" customHeight="1" x14ac:dyDescent="0.3">
      <c r="A861" s="355" t="s">
        <v>1217</v>
      </c>
      <c r="B861" s="355"/>
      <c r="C861" s="355"/>
      <c r="D861" s="355"/>
      <c r="E861" s="355"/>
      <c r="F861" s="355"/>
    </row>
    <row r="862" spans="1:6" ht="69.75" customHeight="1" x14ac:dyDescent="0.3">
      <c r="A862" s="355" t="s">
        <v>1218</v>
      </c>
      <c r="B862" s="355"/>
      <c r="C862" s="355"/>
      <c r="D862" s="355"/>
      <c r="E862" s="355"/>
      <c r="F862" s="355"/>
    </row>
    <row r="863" spans="1:6" ht="69.75" customHeight="1" x14ac:dyDescent="0.3">
      <c r="A863" s="355" t="s">
        <v>1219</v>
      </c>
      <c r="B863" s="355"/>
      <c r="C863" s="355"/>
      <c r="D863" s="355"/>
      <c r="E863" s="355"/>
      <c r="F863" s="355"/>
    </row>
    <row r="865" spans="1:6" ht="21.75" customHeight="1" x14ac:dyDescent="0.3">
      <c r="A865" s="355" t="s">
        <v>1220</v>
      </c>
      <c r="B865" s="355"/>
      <c r="C865" s="355"/>
      <c r="D865" s="355"/>
      <c r="E865" s="355"/>
      <c r="F865" s="355"/>
    </row>
    <row r="866" spans="1:6" ht="21.75" customHeight="1" x14ac:dyDescent="0.3">
      <c r="A866" s="355" t="s">
        <v>1221</v>
      </c>
      <c r="B866" s="355"/>
      <c r="C866" s="355"/>
      <c r="D866" s="355"/>
      <c r="E866" s="355"/>
      <c r="F866" s="355"/>
    </row>
    <row r="867" spans="1:6" ht="21.75" customHeight="1" x14ac:dyDescent="0.3">
      <c r="A867" s="356" t="s">
        <v>495</v>
      </c>
      <c r="B867" s="356"/>
      <c r="C867" s="356"/>
      <c r="D867" s="356"/>
      <c r="E867" s="356"/>
      <c r="F867" s="356"/>
    </row>
    <row r="868" spans="1:6" ht="54" customHeight="1" x14ac:dyDescent="0.3">
      <c r="A868" s="355" t="s">
        <v>1222</v>
      </c>
      <c r="B868" s="355"/>
      <c r="C868" s="355"/>
      <c r="D868" s="355"/>
      <c r="E868" s="355"/>
      <c r="F868" s="355"/>
    </row>
    <row r="869" spans="1:6" ht="21.75" customHeight="1" x14ac:dyDescent="0.3">
      <c r="A869" s="356" t="s">
        <v>496</v>
      </c>
      <c r="B869" s="356"/>
      <c r="C869" s="356"/>
      <c r="D869" s="356"/>
      <c r="E869" s="356"/>
      <c r="F869" s="356"/>
    </row>
    <row r="870" spans="1:6" ht="21.75" customHeight="1" x14ac:dyDescent="0.3">
      <c r="A870" s="355" t="s">
        <v>1223</v>
      </c>
      <c r="B870" s="355"/>
      <c r="C870" s="355"/>
      <c r="D870" s="355"/>
      <c r="E870" s="355"/>
      <c r="F870" s="355"/>
    </row>
    <row r="871" spans="1:6" ht="37.5" customHeight="1" x14ac:dyDescent="0.3">
      <c r="A871" s="355" t="s">
        <v>1224</v>
      </c>
      <c r="B871" s="355"/>
      <c r="C871" s="355"/>
      <c r="D871" s="355"/>
      <c r="E871" s="355"/>
      <c r="F871" s="355"/>
    </row>
    <row r="872" spans="1:6" ht="54" customHeight="1" x14ac:dyDescent="0.3">
      <c r="A872" s="355" t="s">
        <v>1225</v>
      </c>
      <c r="B872" s="355"/>
      <c r="C872" s="355"/>
      <c r="D872" s="355"/>
      <c r="E872" s="355"/>
      <c r="F872" s="355"/>
    </row>
    <row r="873" spans="1:6" ht="69.75" customHeight="1" x14ac:dyDescent="0.3">
      <c r="A873" s="355" t="s">
        <v>1226</v>
      </c>
      <c r="B873" s="355"/>
      <c r="C873" s="355"/>
      <c r="D873" s="355"/>
      <c r="E873" s="355"/>
      <c r="F873" s="355"/>
    </row>
    <row r="874" spans="1:6" ht="37.5" customHeight="1" x14ac:dyDescent="0.3">
      <c r="A874" s="355" t="s">
        <v>1227</v>
      </c>
      <c r="B874" s="355"/>
      <c r="C874" s="355"/>
      <c r="D874" s="355"/>
      <c r="E874" s="355"/>
      <c r="F874" s="355"/>
    </row>
    <row r="875" spans="1:6" ht="37.5" customHeight="1" x14ac:dyDescent="0.3">
      <c r="A875" s="355" t="s">
        <v>1228</v>
      </c>
      <c r="B875" s="355"/>
      <c r="C875" s="355"/>
      <c r="D875" s="355"/>
      <c r="E875" s="355"/>
      <c r="F875" s="355"/>
    </row>
    <row r="876" spans="1:6" ht="21.75" customHeight="1" x14ac:dyDescent="0.3">
      <c r="A876" s="355" t="s">
        <v>1229</v>
      </c>
      <c r="B876" s="355"/>
      <c r="C876" s="355"/>
      <c r="D876" s="355"/>
      <c r="E876" s="355"/>
      <c r="F876" s="355"/>
    </row>
    <row r="877" spans="1:6" ht="21.75" customHeight="1" x14ac:dyDescent="0.3">
      <c r="A877" s="355" t="s">
        <v>1230</v>
      </c>
      <c r="B877" s="355"/>
      <c r="C877" s="355"/>
      <c r="D877" s="355"/>
      <c r="E877" s="355"/>
      <c r="F877" s="355"/>
    </row>
    <row r="878" spans="1:6" ht="37.5" customHeight="1" x14ac:dyDescent="0.3">
      <c r="A878" s="355" t="s">
        <v>1231</v>
      </c>
      <c r="B878" s="355"/>
      <c r="C878" s="355"/>
      <c r="D878" s="355"/>
      <c r="E878" s="355"/>
      <c r="F878" s="355"/>
    </row>
    <row r="879" spans="1:6" ht="21.75" customHeight="1" x14ac:dyDescent="0.3">
      <c r="A879" s="356" t="s">
        <v>497</v>
      </c>
      <c r="B879" s="356"/>
      <c r="C879" s="356"/>
      <c r="D879" s="356"/>
      <c r="E879" s="356"/>
      <c r="F879" s="356"/>
    </row>
    <row r="880" spans="1:6" ht="21.75" customHeight="1" x14ac:dyDescent="0.3">
      <c r="A880" s="355" t="s">
        <v>1232</v>
      </c>
      <c r="B880" s="355"/>
      <c r="C880" s="355"/>
      <c r="D880" s="355"/>
      <c r="E880" s="355"/>
      <c r="F880" s="355"/>
    </row>
    <row r="881" spans="1:6" ht="21.75" customHeight="1" x14ac:dyDescent="0.3">
      <c r="A881" s="355" t="s">
        <v>1233</v>
      </c>
      <c r="B881" s="355"/>
      <c r="C881" s="355"/>
      <c r="D881" s="355"/>
      <c r="E881" s="355"/>
      <c r="F881" s="355"/>
    </row>
    <row r="882" spans="1:6" ht="21.75" customHeight="1" x14ac:dyDescent="0.3">
      <c r="A882" s="355" t="s">
        <v>1234</v>
      </c>
      <c r="B882" s="355"/>
      <c r="C882" s="355"/>
      <c r="D882" s="355"/>
      <c r="E882" s="355"/>
      <c r="F882" s="355"/>
    </row>
    <row r="883" spans="1:6" ht="21.75" customHeight="1" x14ac:dyDescent="0.3">
      <c r="A883" s="355" t="s">
        <v>1235</v>
      </c>
      <c r="B883" s="355"/>
      <c r="C883" s="355"/>
      <c r="D883" s="355"/>
      <c r="E883" s="355"/>
      <c r="F883" s="355"/>
    </row>
    <row r="884" spans="1:6" ht="21.75" customHeight="1" x14ac:dyDescent="0.3">
      <c r="A884" s="356" t="s">
        <v>1236</v>
      </c>
      <c r="B884" s="356"/>
      <c r="C884" s="356"/>
      <c r="D884" s="356"/>
      <c r="E884" s="356"/>
      <c r="F884" s="356"/>
    </row>
    <row r="885" spans="1:6" ht="21.75" customHeight="1" x14ac:dyDescent="0.3">
      <c r="A885" s="355" t="s">
        <v>1237</v>
      </c>
      <c r="B885" s="355"/>
      <c r="C885" s="355"/>
      <c r="D885" s="355"/>
      <c r="E885" s="355"/>
      <c r="F885" s="355"/>
    </row>
    <row r="886" spans="1:6" ht="54" customHeight="1" x14ac:dyDescent="0.3">
      <c r="A886" s="355" t="s">
        <v>1238</v>
      </c>
      <c r="B886" s="355"/>
      <c r="C886" s="355"/>
      <c r="D886" s="355"/>
      <c r="E886" s="355"/>
      <c r="F886" s="355"/>
    </row>
    <row r="887" spans="1:6" ht="37.5" customHeight="1" x14ac:dyDescent="0.3">
      <c r="A887" s="355" t="s">
        <v>1239</v>
      </c>
      <c r="B887" s="355"/>
      <c r="C887" s="355"/>
      <c r="D887" s="355"/>
      <c r="E887" s="355"/>
      <c r="F887" s="355"/>
    </row>
    <row r="888" spans="1:6" ht="37.5" customHeight="1" x14ac:dyDescent="0.3">
      <c r="A888" s="355" t="s">
        <v>1240</v>
      </c>
      <c r="B888" s="355"/>
      <c r="C888" s="355"/>
      <c r="D888" s="355"/>
      <c r="E888" s="355"/>
      <c r="F888" s="355"/>
    </row>
    <row r="889" spans="1:6" ht="69.75" customHeight="1" x14ac:dyDescent="0.3">
      <c r="A889" s="355" t="s">
        <v>1241</v>
      </c>
      <c r="B889" s="355"/>
      <c r="C889" s="355"/>
      <c r="D889" s="355"/>
      <c r="E889" s="355"/>
      <c r="F889" s="355"/>
    </row>
    <row r="890" spans="1:6" ht="54" customHeight="1" x14ac:dyDescent="0.3">
      <c r="A890" s="355" t="s">
        <v>1242</v>
      </c>
      <c r="B890" s="355"/>
      <c r="C890" s="355"/>
      <c r="D890" s="355"/>
      <c r="E890" s="355"/>
      <c r="F890" s="355"/>
    </row>
    <row r="891" spans="1:6" ht="133.5" customHeight="1" x14ac:dyDescent="0.3">
      <c r="A891" s="355" t="s">
        <v>1243</v>
      </c>
      <c r="B891" s="355"/>
      <c r="C891" s="355"/>
      <c r="D891" s="355"/>
      <c r="E891" s="355"/>
      <c r="F891" s="355"/>
    </row>
    <row r="892" spans="1:6" ht="21.75" customHeight="1" x14ac:dyDescent="0.3">
      <c r="A892" s="355" t="s">
        <v>1244</v>
      </c>
      <c r="B892" s="355"/>
      <c r="C892" s="355"/>
      <c r="D892" s="355"/>
      <c r="E892" s="355"/>
      <c r="F892" s="355"/>
    </row>
    <row r="893" spans="1:6" ht="21.75" customHeight="1" x14ac:dyDescent="0.3">
      <c r="A893" s="355" t="s">
        <v>1245</v>
      </c>
      <c r="B893" s="355"/>
      <c r="C893" s="355"/>
      <c r="D893" s="355"/>
      <c r="E893" s="355"/>
      <c r="F893" s="355"/>
    </row>
    <row r="894" spans="1:6" ht="37.5" customHeight="1" x14ac:dyDescent="0.3">
      <c r="A894" s="355" t="s">
        <v>1246</v>
      </c>
      <c r="B894" s="355"/>
      <c r="C894" s="355"/>
      <c r="D894" s="355"/>
      <c r="E894" s="355"/>
      <c r="F894" s="355"/>
    </row>
    <row r="895" spans="1:6" ht="37.5" customHeight="1" x14ac:dyDescent="0.3">
      <c r="A895" s="355" t="s">
        <v>1247</v>
      </c>
      <c r="B895" s="355"/>
      <c r="C895" s="355"/>
      <c r="D895" s="355"/>
      <c r="E895" s="355"/>
      <c r="F895" s="355"/>
    </row>
    <row r="896" spans="1:6" ht="37.5" customHeight="1" x14ac:dyDescent="0.3">
      <c r="A896" s="355" t="s">
        <v>1248</v>
      </c>
      <c r="B896" s="355"/>
      <c r="C896" s="355"/>
      <c r="D896" s="355"/>
      <c r="E896" s="355"/>
      <c r="F896" s="355"/>
    </row>
    <row r="897" spans="1:6" ht="37.5" customHeight="1" x14ac:dyDescent="0.3">
      <c r="A897" s="355" t="s">
        <v>1249</v>
      </c>
      <c r="B897" s="355"/>
      <c r="C897" s="355"/>
      <c r="D897" s="355"/>
      <c r="E897" s="355"/>
      <c r="F897" s="355"/>
    </row>
    <row r="898" spans="1:6" ht="54" customHeight="1" x14ac:dyDescent="0.3">
      <c r="A898" s="355" t="s">
        <v>1250</v>
      </c>
      <c r="B898" s="355"/>
      <c r="C898" s="355"/>
      <c r="D898" s="355"/>
      <c r="E898" s="355"/>
      <c r="F898" s="355"/>
    </row>
    <row r="899" spans="1:6" ht="37.5" customHeight="1" x14ac:dyDescent="0.3">
      <c r="A899" s="355" t="s">
        <v>1251</v>
      </c>
      <c r="B899" s="355"/>
      <c r="C899" s="355"/>
      <c r="D899" s="355"/>
      <c r="E899" s="355"/>
      <c r="F899" s="355"/>
    </row>
    <row r="900" spans="1:6" ht="21.75" customHeight="1" x14ac:dyDescent="0.3">
      <c r="A900" s="355" t="s">
        <v>1252</v>
      </c>
      <c r="B900" s="355"/>
      <c r="C900" s="355"/>
      <c r="D900" s="355"/>
      <c r="E900" s="355"/>
      <c r="F900" s="355"/>
    </row>
    <row r="901" spans="1:6" ht="54" customHeight="1" x14ac:dyDescent="0.3">
      <c r="A901" s="355" t="s">
        <v>1253</v>
      </c>
      <c r="B901" s="355"/>
      <c r="C901" s="355"/>
      <c r="D901" s="355"/>
      <c r="E901" s="355"/>
      <c r="F901" s="355"/>
    </row>
    <row r="902" spans="1:6" ht="37.5" customHeight="1" x14ac:dyDescent="0.3">
      <c r="A902" s="355" t="s">
        <v>1254</v>
      </c>
      <c r="B902" s="355"/>
      <c r="C902" s="355"/>
      <c r="D902" s="355"/>
      <c r="E902" s="355"/>
      <c r="F902" s="355"/>
    </row>
    <row r="903" spans="1:6" ht="54" customHeight="1" x14ac:dyDescent="0.3">
      <c r="A903" s="355" t="s">
        <v>1255</v>
      </c>
      <c r="B903" s="355"/>
      <c r="C903" s="355"/>
      <c r="D903" s="355"/>
      <c r="E903" s="355"/>
      <c r="F903" s="355"/>
    </row>
    <row r="904" spans="1:6" ht="21.75" customHeight="1" x14ac:dyDescent="0.3">
      <c r="A904" s="355" t="s">
        <v>1256</v>
      </c>
      <c r="B904" s="355"/>
      <c r="C904" s="355"/>
      <c r="D904" s="355"/>
      <c r="E904" s="355"/>
      <c r="F904" s="355"/>
    </row>
    <row r="905" spans="1:6" ht="37.5" customHeight="1" x14ac:dyDescent="0.3">
      <c r="A905" s="355" t="s">
        <v>1257</v>
      </c>
      <c r="B905" s="355"/>
      <c r="C905" s="355"/>
      <c r="D905" s="355"/>
      <c r="E905" s="355"/>
      <c r="F905" s="355"/>
    </row>
    <row r="906" spans="1:6" ht="54" customHeight="1" x14ac:dyDescent="0.3">
      <c r="A906" s="355" t="s">
        <v>1258</v>
      </c>
      <c r="B906" s="355"/>
      <c r="C906" s="355"/>
      <c r="D906" s="355"/>
      <c r="E906" s="355"/>
      <c r="F906" s="355"/>
    </row>
    <row r="907" spans="1:6" ht="37.5" customHeight="1" x14ac:dyDescent="0.3">
      <c r="A907" s="355" t="s">
        <v>1259</v>
      </c>
      <c r="B907" s="355"/>
      <c r="C907" s="355"/>
      <c r="D907" s="355"/>
      <c r="E907" s="355"/>
      <c r="F907" s="355"/>
    </row>
    <row r="908" spans="1:6" ht="54" customHeight="1" x14ac:dyDescent="0.3">
      <c r="A908" s="355" t="s">
        <v>1260</v>
      </c>
      <c r="B908" s="355"/>
      <c r="C908" s="355"/>
      <c r="D908" s="355"/>
      <c r="E908" s="355"/>
      <c r="F908" s="355"/>
    </row>
    <row r="909" spans="1:6" ht="54" customHeight="1" x14ac:dyDescent="0.3">
      <c r="A909" s="355" t="s">
        <v>1261</v>
      </c>
      <c r="B909" s="355"/>
      <c r="C909" s="355"/>
      <c r="D909" s="355"/>
      <c r="E909" s="355"/>
      <c r="F909" s="355"/>
    </row>
    <row r="910" spans="1:6" ht="37.5" customHeight="1" x14ac:dyDescent="0.3">
      <c r="A910" s="355" t="s">
        <v>1262</v>
      </c>
      <c r="B910" s="355"/>
      <c r="C910" s="355"/>
      <c r="D910" s="355"/>
      <c r="E910" s="355"/>
      <c r="F910" s="355"/>
    </row>
    <row r="911" spans="1:6" ht="21.75" customHeight="1" x14ac:dyDescent="0.3">
      <c r="A911" s="355" t="s">
        <v>1263</v>
      </c>
      <c r="B911" s="355"/>
      <c r="C911" s="355"/>
      <c r="D911" s="355"/>
      <c r="E911" s="355"/>
      <c r="F911" s="355"/>
    </row>
    <row r="912" spans="1:6" ht="37.5" customHeight="1" x14ac:dyDescent="0.3">
      <c r="A912" s="355" t="s">
        <v>1264</v>
      </c>
      <c r="B912" s="355"/>
      <c r="C912" s="355"/>
      <c r="D912" s="355"/>
      <c r="E912" s="355"/>
      <c r="F912" s="355"/>
    </row>
    <row r="913" spans="1:6" ht="37.5" customHeight="1" x14ac:dyDescent="0.3">
      <c r="A913" s="356" t="s">
        <v>499</v>
      </c>
      <c r="B913" s="356"/>
      <c r="C913" s="356"/>
      <c r="D913" s="356"/>
      <c r="E913" s="356"/>
      <c r="F913" s="356"/>
    </row>
    <row r="914" spans="1:6" ht="37.5" customHeight="1" x14ac:dyDescent="0.3">
      <c r="A914" s="355" t="s">
        <v>1265</v>
      </c>
      <c r="B914" s="355"/>
      <c r="C914" s="355"/>
      <c r="D914" s="355"/>
      <c r="E914" s="355"/>
      <c r="F914" s="355"/>
    </row>
    <row r="915" spans="1:6" ht="69.75" customHeight="1" x14ac:dyDescent="0.3">
      <c r="A915" s="355" t="s">
        <v>1266</v>
      </c>
      <c r="B915" s="355"/>
      <c r="C915" s="355"/>
      <c r="D915" s="355"/>
      <c r="E915" s="355"/>
      <c r="F915" s="355"/>
    </row>
    <row r="916" spans="1:6" ht="37.5" customHeight="1" x14ac:dyDescent="0.3">
      <c r="A916" s="355" t="s">
        <v>1267</v>
      </c>
      <c r="B916" s="355"/>
      <c r="C916" s="355"/>
      <c r="D916" s="355"/>
      <c r="E916" s="355"/>
      <c r="F916" s="355"/>
    </row>
    <row r="917" spans="1:6" ht="54" customHeight="1" x14ac:dyDescent="0.3">
      <c r="A917" s="355" t="s">
        <v>1268</v>
      </c>
      <c r="B917" s="355"/>
      <c r="C917" s="355"/>
      <c r="D917" s="355"/>
      <c r="E917" s="355"/>
      <c r="F917" s="355"/>
    </row>
    <row r="918" spans="1:6" ht="21.75" customHeight="1" x14ac:dyDescent="0.3">
      <c r="A918" s="355" t="s">
        <v>1269</v>
      </c>
      <c r="B918" s="355"/>
      <c r="C918" s="355"/>
      <c r="D918" s="355"/>
      <c r="E918" s="355"/>
      <c r="F918" s="355"/>
    </row>
    <row r="919" spans="1:6" ht="21.75" customHeight="1" x14ac:dyDescent="0.3">
      <c r="A919" s="355" t="s">
        <v>1270</v>
      </c>
      <c r="B919" s="355"/>
      <c r="C919" s="355"/>
      <c r="D919" s="355"/>
      <c r="E919" s="355"/>
      <c r="F919" s="355"/>
    </row>
    <row r="920" spans="1:6" ht="37.5" customHeight="1" x14ac:dyDescent="0.3">
      <c r="A920" s="355" t="s">
        <v>1271</v>
      </c>
      <c r="B920" s="355"/>
      <c r="C920" s="355"/>
      <c r="D920" s="355"/>
      <c r="E920" s="355"/>
      <c r="F920" s="355"/>
    </row>
    <row r="921" spans="1:6" ht="21.75" customHeight="1" x14ac:dyDescent="0.3">
      <c r="A921" s="355" t="s">
        <v>1272</v>
      </c>
      <c r="B921" s="355"/>
      <c r="C921" s="355"/>
      <c r="D921" s="355"/>
      <c r="E921" s="355"/>
      <c r="F921" s="355"/>
    </row>
    <row r="922" spans="1:6" ht="37.5" customHeight="1" x14ac:dyDescent="0.3">
      <c r="A922" s="355" t="s">
        <v>1273</v>
      </c>
      <c r="B922" s="355"/>
      <c r="C922" s="355"/>
      <c r="D922" s="355"/>
      <c r="E922" s="355"/>
      <c r="F922" s="355"/>
    </row>
    <row r="923" spans="1:6" ht="21.75" customHeight="1" x14ac:dyDescent="0.3">
      <c r="A923" s="356" t="s">
        <v>500</v>
      </c>
      <c r="B923" s="356"/>
      <c r="C923" s="356"/>
      <c r="D923" s="356"/>
      <c r="E923" s="356"/>
      <c r="F923" s="356"/>
    </row>
    <row r="924" spans="1:6" ht="54" customHeight="1" x14ac:dyDescent="0.3">
      <c r="A924" s="355" t="s">
        <v>1274</v>
      </c>
      <c r="B924" s="355"/>
      <c r="C924" s="355"/>
      <c r="D924" s="355"/>
      <c r="E924" s="355"/>
      <c r="F924" s="355"/>
    </row>
    <row r="925" spans="1:6" ht="69.75" customHeight="1" x14ac:dyDescent="0.3">
      <c r="A925" s="355" t="s">
        <v>1275</v>
      </c>
      <c r="B925" s="355"/>
      <c r="C925" s="355"/>
      <c r="D925" s="355"/>
      <c r="E925" s="355"/>
      <c r="F925" s="355"/>
    </row>
    <row r="926" spans="1:6" ht="69.75" customHeight="1" x14ac:dyDescent="0.3">
      <c r="A926" s="355" t="s">
        <v>1276</v>
      </c>
      <c r="B926" s="355"/>
      <c r="C926" s="355"/>
      <c r="D926" s="355"/>
      <c r="E926" s="355"/>
      <c r="F926" s="355"/>
    </row>
    <row r="927" spans="1:6" ht="69.75" customHeight="1" x14ac:dyDescent="0.3">
      <c r="A927" s="355" t="s">
        <v>1277</v>
      </c>
      <c r="B927" s="355"/>
      <c r="C927" s="355"/>
      <c r="D927" s="355"/>
      <c r="E927" s="355"/>
      <c r="F927" s="355"/>
    </row>
    <row r="928" spans="1:6" ht="21.75" customHeight="1" x14ac:dyDescent="0.3">
      <c r="A928" s="356" t="s">
        <v>501</v>
      </c>
      <c r="B928" s="356"/>
      <c r="C928" s="356"/>
      <c r="D928" s="356"/>
      <c r="E928" s="356"/>
      <c r="F928" s="356"/>
    </row>
    <row r="929" spans="1:6" ht="21.75" customHeight="1" x14ac:dyDescent="0.3">
      <c r="A929" s="356" t="s">
        <v>1278</v>
      </c>
      <c r="B929" s="356"/>
      <c r="C929" s="356"/>
      <c r="D929" s="356"/>
      <c r="E929" s="356"/>
      <c r="F929" s="356"/>
    </row>
    <row r="930" spans="1:6" ht="37.5" customHeight="1" x14ac:dyDescent="0.3">
      <c r="A930" s="355" t="s">
        <v>1279</v>
      </c>
      <c r="B930" s="355"/>
      <c r="C930" s="355"/>
      <c r="D930" s="355"/>
      <c r="E930" s="355"/>
      <c r="F930" s="355"/>
    </row>
    <row r="931" spans="1:6" ht="37.5" customHeight="1" x14ac:dyDescent="0.3">
      <c r="A931" s="355" t="s">
        <v>1280</v>
      </c>
      <c r="B931" s="355"/>
      <c r="C931" s="355"/>
      <c r="D931" s="355"/>
      <c r="E931" s="355"/>
      <c r="F931" s="355"/>
    </row>
    <row r="932" spans="1:6" ht="21.75" customHeight="1" x14ac:dyDescent="0.3">
      <c r="A932" s="355" t="s">
        <v>1281</v>
      </c>
      <c r="B932" s="355"/>
      <c r="C932" s="355"/>
      <c r="D932" s="355"/>
      <c r="E932" s="355"/>
      <c r="F932" s="355"/>
    </row>
    <row r="933" spans="1:6" ht="54" customHeight="1" x14ac:dyDescent="0.3">
      <c r="A933" s="355" t="s">
        <v>1282</v>
      </c>
      <c r="B933" s="355"/>
      <c r="C933" s="355"/>
      <c r="D933" s="355"/>
      <c r="E933" s="355"/>
      <c r="F933" s="355"/>
    </row>
    <row r="934" spans="1:6" ht="69.75" customHeight="1" x14ac:dyDescent="0.3">
      <c r="A934" s="355" t="s">
        <v>1283</v>
      </c>
      <c r="B934" s="355"/>
      <c r="C934" s="355"/>
      <c r="D934" s="355"/>
      <c r="E934" s="355"/>
      <c r="F934" s="355"/>
    </row>
    <row r="935" spans="1:6" ht="21.75" customHeight="1" x14ac:dyDescent="0.3">
      <c r="A935" s="356" t="s">
        <v>1284</v>
      </c>
      <c r="B935" s="356"/>
      <c r="C935" s="356"/>
      <c r="D935" s="356"/>
      <c r="E935" s="356"/>
      <c r="F935" s="356"/>
    </row>
    <row r="936" spans="1:6" ht="21.75" customHeight="1" x14ac:dyDescent="0.3">
      <c r="A936" s="355" t="s">
        <v>1285</v>
      </c>
      <c r="B936" s="355"/>
      <c r="C936" s="355"/>
      <c r="D936" s="355"/>
      <c r="E936" s="355"/>
      <c r="F936" s="355"/>
    </row>
    <row r="937" spans="1:6" ht="37.5" customHeight="1" x14ac:dyDescent="0.3">
      <c r="A937" s="355" t="s">
        <v>1286</v>
      </c>
      <c r="B937" s="355"/>
      <c r="C937" s="355"/>
      <c r="D937" s="355"/>
      <c r="E937" s="355"/>
      <c r="F937" s="355"/>
    </row>
    <row r="938" spans="1:6" ht="37.5" customHeight="1" x14ac:dyDescent="0.3">
      <c r="A938" s="355" t="s">
        <v>1287</v>
      </c>
      <c r="B938" s="355"/>
      <c r="C938" s="355"/>
      <c r="D938" s="355"/>
      <c r="E938" s="355"/>
      <c r="F938" s="355"/>
    </row>
    <row r="939" spans="1:6" ht="37.5" customHeight="1" x14ac:dyDescent="0.3">
      <c r="A939" s="355" t="s">
        <v>1288</v>
      </c>
      <c r="B939" s="355"/>
      <c r="C939" s="355"/>
      <c r="D939" s="355"/>
      <c r="E939" s="355"/>
      <c r="F939" s="355"/>
    </row>
    <row r="940" spans="1:6" ht="85.5" customHeight="1" x14ac:dyDescent="0.3">
      <c r="A940" s="355" t="s">
        <v>1289</v>
      </c>
      <c r="B940" s="355"/>
      <c r="C940" s="355"/>
      <c r="D940" s="355"/>
      <c r="E940" s="355"/>
      <c r="F940" s="355"/>
    </row>
    <row r="941" spans="1:6" ht="21.75" customHeight="1" x14ac:dyDescent="0.3">
      <c r="A941" s="356" t="s">
        <v>502</v>
      </c>
      <c r="B941" s="356"/>
      <c r="C941" s="356"/>
      <c r="D941" s="356"/>
      <c r="E941" s="356"/>
      <c r="F941" s="356"/>
    </row>
    <row r="942" spans="1:6" ht="54" customHeight="1" x14ac:dyDescent="0.3">
      <c r="A942" s="355" t="s">
        <v>1290</v>
      </c>
      <c r="B942" s="355"/>
      <c r="C942" s="355"/>
      <c r="D942" s="355"/>
      <c r="E942" s="355"/>
      <c r="F942" s="355"/>
    </row>
    <row r="943" spans="1:6" ht="37.5" customHeight="1" x14ac:dyDescent="0.3">
      <c r="A943" s="355" t="s">
        <v>1291</v>
      </c>
      <c r="B943" s="355"/>
      <c r="C943" s="355"/>
      <c r="D943" s="355"/>
      <c r="E943" s="355"/>
      <c r="F943" s="355"/>
    </row>
    <row r="944" spans="1:6" ht="117.75" customHeight="1" x14ac:dyDescent="0.3">
      <c r="A944" s="355" t="s">
        <v>1292</v>
      </c>
      <c r="B944" s="355"/>
      <c r="C944" s="355"/>
      <c r="D944" s="355"/>
      <c r="E944" s="355"/>
      <c r="F944" s="355"/>
    </row>
    <row r="945" spans="1:6" ht="21.75" customHeight="1" x14ac:dyDescent="0.3">
      <c r="A945" s="356" t="s">
        <v>1293</v>
      </c>
      <c r="B945" s="356"/>
      <c r="C945" s="356"/>
      <c r="D945" s="356"/>
      <c r="E945" s="356"/>
      <c r="F945" s="356"/>
    </row>
    <row r="946" spans="1:6" ht="85.5" customHeight="1" x14ac:dyDescent="0.3">
      <c r="A946" s="355" t="s">
        <v>1294</v>
      </c>
      <c r="B946" s="355"/>
      <c r="C946" s="355"/>
      <c r="D946" s="355"/>
      <c r="E946" s="355"/>
      <c r="F946" s="355"/>
    </row>
    <row r="947" spans="1:6" ht="37.5" customHeight="1" x14ac:dyDescent="0.3">
      <c r="A947" s="355" t="s">
        <v>1295</v>
      </c>
      <c r="B947" s="355"/>
      <c r="C947" s="355"/>
      <c r="D947" s="355"/>
      <c r="E947" s="355"/>
      <c r="F947" s="355"/>
    </row>
    <row r="948" spans="1:6" ht="21.75" customHeight="1" x14ac:dyDescent="0.3">
      <c r="A948" s="356" t="s">
        <v>504</v>
      </c>
      <c r="B948" s="356"/>
      <c r="C948" s="356"/>
      <c r="D948" s="356"/>
      <c r="E948" s="356"/>
      <c r="F948" s="356"/>
    </row>
    <row r="949" spans="1:6" ht="150" customHeight="1" x14ac:dyDescent="0.3">
      <c r="A949" s="355" t="s">
        <v>1296</v>
      </c>
      <c r="B949" s="355"/>
      <c r="C949" s="355"/>
      <c r="D949" s="355"/>
      <c r="E949" s="355"/>
      <c r="F949" s="355"/>
    </row>
    <row r="950" spans="1:6" ht="37.5" customHeight="1" x14ac:dyDescent="0.3">
      <c r="A950" s="355" t="s">
        <v>1297</v>
      </c>
      <c r="B950" s="355"/>
      <c r="C950" s="355"/>
      <c r="D950" s="355"/>
      <c r="E950" s="355"/>
      <c r="F950" s="355"/>
    </row>
    <row r="951" spans="1:6" ht="37.5" customHeight="1" x14ac:dyDescent="0.3">
      <c r="A951" s="355" t="s">
        <v>1298</v>
      </c>
      <c r="B951" s="355"/>
      <c r="C951" s="355"/>
      <c r="D951" s="355"/>
      <c r="E951" s="355"/>
      <c r="F951" s="355"/>
    </row>
    <row r="952" spans="1:6" ht="54" customHeight="1" x14ac:dyDescent="0.3">
      <c r="A952" s="355" t="s">
        <v>1299</v>
      </c>
      <c r="B952" s="355"/>
      <c r="C952" s="355"/>
      <c r="D952" s="355"/>
      <c r="E952" s="355"/>
      <c r="F952" s="355"/>
    </row>
    <row r="953" spans="1:6" ht="21.75" customHeight="1" x14ac:dyDescent="0.3">
      <c r="A953" s="356" t="s">
        <v>505</v>
      </c>
      <c r="B953" s="356"/>
      <c r="C953" s="356"/>
      <c r="D953" s="356"/>
      <c r="E953" s="356"/>
      <c r="F953" s="356"/>
    </row>
    <row r="954" spans="1:6" ht="54" customHeight="1" x14ac:dyDescent="0.3">
      <c r="A954" s="355" t="s">
        <v>1300</v>
      </c>
      <c r="B954" s="355"/>
      <c r="C954" s="355"/>
      <c r="D954" s="355"/>
      <c r="E954" s="355"/>
      <c r="F954" s="355"/>
    </row>
    <row r="955" spans="1:6" ht="54" customHeight="1" x14ac:dyDescent="0.3">
      <c r="A955" s="355" t="s">
        <v>1301</v>
      </c>
      <c r="B955" s="355"/>
      <c r="C955" s="355"/>
      <c r="D955" s="355"/>
      <c r="E955" s="355"/>
      <c r="F955" s="355"/>
    </row>
    <row r="956" spans="1:6" ht="21.75" customHeight="1" x14ac:dyDescent="0.3">
      <c r="B956" s="349" t="s">
        <v>1302</v>
      </c>
      <c r="C956" s="349"/>
      <c r="D956" s="349"/>
      <c r="E956" s="349"/>
      <c r="F956" s="349"/>
    </row>
    <row r="960" spans="1:6" ht="21.75" customHeight="1" x14ac:dyDescent="0.3">
      <c r="B960" s="353" t="s">
        <v>357</v>
      </c>
      <c r="C960" s="353"/>
      <c r="D960" s="353"/>
      <c r="E960" s="353"/>
      <c r="F960" s="353"/>
    </row>
  </sheetData>
  <mergeCells count="970">
    <mergeCell ref="A949:F949"/>
    <mergeCell ref="A950:F950"/>
    <mergeCell ref="A951:F951"/>
    <mergeCell ref="A952:F952"/>
    <mergeCell ref="A953:F953"/>
    <mergeCell ref="A954:F954"/>
    <mergeCell ref="A955:F955"/>
    <mergeCell ref="B956:F956"/>
    <mergeCell ref="B960:F960"/>
    <mergeCell ref="A940:F940"/>
    <mergeCell ref="A941:F941"/>
    <mergeCell ref="A942:F942"/>
    <mergeCell ref="A943:F943"/>
    <mergeCell ref="A944:F944"/>
    <mergeCell ref="A945:F945"/>
    <mergeCell ref="A946:F946"/>
    <mergeCell ref="A947:F947"/>
    <mergeCell ref="A948:F948"/>
    <mergeCell ref="A931:F931"/>
    <mergeCell ref="A932:F932"/>
    <mergeCell ref="A933:F933"/>
    <mergeCell ref="A934:F934"/>
    <mergeCell ref="A935:F935"/>
    <mergeCell ref="A936:F936"/>
    <mergeCell ref="A937:F937"/>
    <mergeCell ref="A938:F938"/>
    <mergeCell ref="A939:F939"/>
    <mergeCell ref="A922:F922"/>
    <mergeCell ref="A923:F923"/>
    <mergeCell ref="A924:F924"/>
    <mergeCell ref="A925:F925"/>
    <mergeCell ref="A926:F926"/>
    <mergeCell ref="A927:F927"/>
    <mergeCell ref="A928:F928"/>
    <mergeCell ref="A929:F929"/>
    <mergeCell ref="A930:F930"/>
    <mergeCell ref="A913:F913"/>
    <mergeCell ref="A914:F914"/>
    <mergeCell ref="A915:F915"/>
    <mergeCell ref="A916:F916"/>
    <mergeCell ref="A917:F917"/>
    <mergeCell ref="A918:F918"/>
    <mergeCell ref="A919:F919"/>
    <mergeCell ref="A920:F920"/>
    <mergeCell ref="A921:F921"/>
    <mergeCell ref="A904:F904"/>
    <mergeCell ref="A905:F905"/>
    <mergeCell ref="A906:F906"/>
    <mergeCell ref="A907:F907"/>
    <mergeCell ref="A908:F908"/>
    <mergeCell ref="A909:F909"/>
    <mergeCell ref="A910:F910"/>
    <mergeCell ref="A911:F911"/>
    <mergeCell ref="A912:F912"/>
    <mergeCell ref="A895:F895"/>
    <mergeCell ref="A896:F896"/>
    <mergeCell ref="A897:F897"/>
    <mergeCell ref="A898:F898"/>
    <mergeCell ref="A899:F899"/>
    <mergeCell ref="A900:F900"/>
    <mergeCell ref="A901:F901"/>
    <mergeCell ref="A902:F902"/>
    <mergeCell ref="A903:F903"/>
    <mergeCell ref="A886:F886"/>
    <mergeCell ref="A887:F887"/>
    <mergeCell ref="A888:F888"/>
    <mergeCell ref="A889:F889"/>
    <mergeCell ref="A890:F890"/>
    <mergeCell ref="A891:F891"/>
    <mergeCell ref="A892:F892"/>
    <mergeCell ref="A893:F893"/>
    <mergeCell ref="A894:F894"/>
    <mergeCell ref="A877:F877"/>
    <mergeCell ref="A878:F878"/>
    <mergeCell ref="A879:F879"/>
    <mergeCell ref="A880:F880"/>
    <mergeCell ref="A881:F881"/>
    <mergeCell ref="A882:F882"/>
    <mergeCell ref="A883:F883"/>
    <mergeCell ref="A884:F884"/>
    <mergeCell ref="A885:F885"/>
    <mergeCell ref="A868:F868"/>
    <mergeCell ref="A869:F869"/>
    <mergeCell ref="A870:F870"/>
    <mergeCell ref="A871:F871"/>
    <mergeCell ref="A872:F872"/>
    <mergeCell ref="A873:F873"/>
    <mergeCell ref="A874:F874"/>
    <mergeCell ref="A875:F875"/>
    <mergeCell ref="A876:F876"/>
    <mergeCell ref="A858:F858"/>
    <mergeCell ref="A859:F859"/>
    <mergeCell ref="A860:F860"/>
    <mergeCell ref="A861:F861"/>
    <mergeCell ref="A862:F862"/>
    <mergeCell ref="A863:F863"/>
    <mergeCell ref="A865:F865"/>
    <mergeCell ref="A866:F866"/>
    <mergeCell ref="A867:F867"/>
    <mergeCell ref="A849:F849"/>
    <mergeCell ref="A850:F850"/>
    <mergeCell ref="A851:F851"/>
    <mergeCell ref="A852:F852"/>
    <mergeCell ref="A853:F853"/>
    <mergeCell ref="A854:F854"/>
    <mergeCell ref="A855:F855"/>
    <mergeCell ref="A856:F856"/>
    <mergeCell ref="A857:F857"/>
    <mergeCell ref="A840:F840"/>
    <mergeCell ref="A841:F841"/>
    <mergeCell ref="A842:F842"/>
    <mergeCell ref="A843:F843"/>
    <mergeCell ref="A844:F844"/>
    <mergeCell ref="A845:F845"/>
    <mergeCell ref="A846:F846"/>
    <mergeCell ref="A847:F847"/>
    <mergeCell ref="A848:F848"/>
    <mergeCell ref="A830:F830"/>
    <mergeCell ref="A831:F831"/>
    <mergeCell ref="A833:F833"/>
    <mergeCell ref="A834:F834"/>
    <mergeCell ref="A835:F835"/>
    <mergeCell ref="A836:F836"/>
    <mergeCell ref="A837:F837"/>
    <mergeCell ref="A838:F838"/>
    <mergeCell ref="A839:F839"/>
    <mergeCell ref="A821:F821"/>
    <mergeCell ref="A822:F822"/>
    <mergeCell ref="A823:F823"/>
    <mergeCell ref="A824:F824"/>
    <mergeCell ref="A825:F825"/>
    <mergeCell ref="A826:F826"/>
    <mergeCell ref="A827:F827"/>
    <mergeCell ref="A828:F828"/>
    <mergeCell ref="A829:F829"/>
    <mergeCell ref="A812:F812"/>
    <mergeCell ref="A813:F813"/>
    <mergeCell ref="A814:F814"/>
    <mergeCell ref="A815:F815"/>
    <mergeCell ref="A816:F816"/>
    <mergeCell ref="A817:F817"/>
    <mergeCell ref="A818:F818"/>
    <mergeCell ref="A819:F819"/>
    <mergeCell ref="A820:F820"/>
    <mergeCell ref="A803:F803"/>
    <mergeCell ref="A804:F804"/>
    <mergeCell ref="A805:F805"/>
    <mergeCell ref="A806:F806"/>
    <mergeCell ref="A807:F807"/>
    <mergeCell ref="A808:F808"/>
    <mergeCell ref="A809:F809"/>
    <mergeCell ref="A810:F810"/>
    <mergeCell ref="A811:F811"/>
    <mergeCell ref="A794:F794"/>
    <mergeCell ref="A795:F795"/>
    <mergeCell ref="A796:F796"/>
    <mergeCell ref="A797:F797"/>
    <mergeCell ref="A798:F798"/>
    <mergeCell ref="A799:F799"/>
    <mergeCell ref="A800:F800"/>
    <mergeCell ref="A801:F801"/>
    <mergeCell ref="A802:F802"/>
    <mergeCell ref="A785:F785"/>
    <mergeCell ref="A786:F786"/>
    <mergeCell ref="A787:F787"/>
    <mergeCell ref="A788:F788"/>
    <mergeCell ref="A789:F789"/>
    <mergeCell ref="A790:F790"/>
    <mergeCell ref="A791:F791"/>
    <mergeCell ref="A792:F792"/>
    <mergeCell ref="A793:F793"/>
    <mergeCell ref="A776:F776"/>
    <mergeCell ref="A777:F777"/>
    <mergeCell ref="A778:F778"/>
    <mergeCell ref="A779:F779"/>
    <mergeCell ref="A780:F780"/>
    <mergeCell ref="A781:F781"/>
    <mergeCell ref="A782:F782"/>
    <mergeCell ref="A783:F783"/>
    <mergeCell ref="A784:F784"/>
    <mergeCell ref="A767:F767"/>
    <mergeCell ref="A768:F768"/>
    <mergeCell ref="A769:F769"/>
    <mergeCell ref="A770:F770"/>
    <mergeCell ref="A771:F771"/>
    <mergeCell ref="A772:F772"/>
    <mergeCell ref="A773:F773"/>
    <mergeCell ref="A774:F774"/>
    <mergeCell ref="A775:F775"/>
    <mergeCell ref="A758:F758"/>
    <mergeCell ref="A759:F759"/>
    <mergeCell ref="A760:F760"/>
    <mergeCell ref="A761:F761"/>
    <mergeCell ref="A762:F762"/>
    <mergeCell ref="A763:F763"/>
    <mergeCell ref="A764:F764"/>
    <mergeCell ref="A765:F765"/>
    <mergeCell ref="A766:F766"/>
    <mergeCell ref="A749:F749"/>
    <mergeCell ref="A750:F750"/>
    <mergeCell ref="A751:F751"/>
    <mergeCell ref="A752:F752"/>
    <mergeCell ref="A753:F753"/>
    <mergeCell ref="A754:F754"/>
    <mergeCell ref="A755:F755"/>
    <mergeCell ref="A756:F756"/>
    <mergeCell ref="A757:F757"/>
    <mergeCell ref="A740:F740"/>
    <mergeCell ref="A741:F741"/>
    <mergeCell ref="A742:F742"/>
    <mergeCell ref="A743:F743"/>
    <mergeCell ref="A744:F744"/>
    <mergeCell ref="A745:F745"/>
    <mergeCell ref="A746:F746"/>
    <mergeCell ref="A747:F747"/>
    <mergeCell ref="A748:F748"/>
    <mergeCell ref="A731:F731"/>
    <mergeCell ref="A732:F732"/>
    <mergeCell ref="A733:F733"/>
    <mergeCell ref="A734:F734"/>
    <mergeCell ref="A735:F735"/>
    <mergeCell ref="A736:F736"/>
    <mergeCell ref="A737:F737"/>
    <mergeCell ref="A738:F738"/>
    <mergeCell ref="A739:F739"/>
    <mergeCell ref="A722:F722"/>
    <mergeCell ref="A723:F723"/>
    <mergeCell ref="A724:F724"/>
    <mergeCell ref="A725:F725"/>
    <mergeCell ref="A726:F726"/>
    <mergeCell ref="A727:F727"/>
    <mergeCell ref="A728:F728"/>
    <mergeCell ref="A729:F729"/>
    <mergeCell ref="A730:F730"/>
    <mergeCell ref="A713:F713"/>
    <mergeCell ref="A714:F714"/>
    <mergeCell ref="A715:F715"/>
    <mergeCell ref="A716:F716"/>
    <mergeCell ref="A717:F717"/>
    <mergeCell ref="A718:F718"/>
    <mergeCell ref="A719:F719"/>
    <mergeCell ref="A720:F720"/>
    <mergeCell ref="A721:F721"/>
    <mergeCell ref="A704:F704"/>
    <mergeCell ref="A705:F705"/>
    <mergeCell ref="A706:F706"/>
    <mergeCell ref="A707:F707"/>
    <mergeCell ref="A708:F708"/>
    <mergeCell ref="A709:F709"/>
    <mergeCell ref="A710:F710"/>
    <mergeCell ref="A711:F711"/>
    <mergeCell ref="A712:F712"/>
    <mergeCell ref="A695:F695"/>
    <mergeCell ref="A696:F696"/>
    <mergeCell ref="A697:F697"/>
    <mergeCell ref="A698:F698"/>
    <mergeCell ref="A699:F699"/>
    <mergeCell ref="A700:F700"/>
    <mergeCell ref="A701:F701"/>
    <mergeCell ref="A702:F702"/>
    <mergeCell ref="A703:F703"/>
    <mergeCell ref="A686:F686"/>
    <mergeCell ref="A687:F687"/>
    <mergeCell ref="A688:F688"/>
    <mergeCell ref="A689:F689"/>
    <mergeCell ref="A690:F690"/>
    <mergeCell ref="A691:F691"/>
    <mergeCell ref="A692:F692"/>
    <mergeCell ref="A693:F693"/>
    <mergeCell ref="A694:F694"/>
    <mergeCell ref="A677:F677"/>
    <mergeCell ref="A678:F678"/>
    <mergeCell ref="A679:F679"/>
    <mergeCell ref="A680:F680"/>
    <mergeCell ref="A681:F681"/>
    <mergeCell ref="A682:F682"/>
    <mergeCell ref="A683:F683"/>
    <mergeCell ref="A684:F684"/>
    <mergeCell ref="A685:F685"/>
    <mergeCell ref="A668:F668"/>
    <mergeCell ref="A669:F669"/>
    <mergeCell ref="A670:F670"/>
    <mergeCell ref="A671:F671"/>
    <mergeCell ref="A672:F672"/>
    <mergeCell ref="A673:F673"/>
    <mergeCell ref="A674:F674"/>
    <mergeCell ref="A675:F675"/>
    <mergeCell ref="A676:F676"/>
    <mergeCell ref="A659:F659"/>
    <mergeCell ref="A660:F660"/>
    <mergeCell ref="A661:F661"/>
    <mergeCell ref="A662:F662"/>
    <mergeCell ref="A663:F663"/>
    <mergeCell ref="A664:F664"/>
    <mergeCell ref="A665:F665"/>
    <mergeCell ref="A666:F666"/>
    <mergeCell ref="A667:F667"/>
    <mergeCell ref="A650:F650"/>
    <mergeCell ref="A651:F651"/>
    <mergeCell ref="A652:F652"/>
    <mergeCell ref="A653:F653"/>
    <mergeCell ref="A654:F654"/>
    <mergeCell ref="A655:F655"/>
    <mergeCell ref="A656:F656"/>
    <mergeCell ref="A657:F657"/>
    <mergeCell ref="A658:F658"/>
    <mergeCell ref="A641:F641"/>
    <mergeCell ref="A642:F642"/>
    <mergeCell ref="A643:F643"/>
    <mergeCell ref="A644:F644"/>
    <mergeCell ref="A645:F645"/>
    <mergeCell ref="A646:F646"/>
    <mergeCell ref="A647:F647"/>
    <mergeCell ref="A648:F648"/>
    <mergeCell ref="A649:F649"/>
    <mergeCell ref="A632:F632"/>
    <mergeCell ref="A633:F633"/>
    <mergeCell ref="A634:F634"/>
    <mergeCell ref="A635:F635"/>
    <mergeCell ref="A636:F636"/>
    <mergeCell ref="A637:F637"/>
    <mergeCell ref="A638:F638"/>
    <mergeCell ref="A639:F639"/>
    <mergeCell ref="A640:F640"/>
    <mergeCell ref="A623:F623"/>
    <mergeCell ref="A624:F624"/>
    <mergeCell ref="A625:F625"/>
    <mergeCell ref="A626:F626"/>
    <mergeCell ref="A627:F627"/>
    <mergeCell ref="A628:F628"/>
    <mergeCell ref="A629:F629"/>
    <mergeCell ref="A630:F630"/>
    <mergeCell ref="A631:F631"/>
    <mergeCell ref="A614:F614"/>
    <mergeCell ref="A615:F615"/>
    <mergeCell ref="A616:F616"/>
    <mergeCell ref="A617:F617"/>
    <mergeCell ref="A618:F618"/>
    <mergeCell ref="A619:F619"/>
    <mergeCell ref="A620:F620"/>
    <mergeCell ref="A621:F621"/>
    <mergeCell ref="A622:F622"/>
    <mergeCell ref="A605:F605"/>
    <mergeCell ref="A606:F606"/>
    <mergeCell ref="A607:F607"/>
    <mergeCell ref="A608:F608"/>
    <mergeCell ref="A609:F609"/>
    <mergeCell ref="A610:F610"/>
    <mergeCell ref="A611:F611"/>
    <mergeCell ref="A612:F612"/>
    <mergeCell ref="A613:F613"/>
    <mergeCell ref="A596:F596"/>
    <mergeCell ref="A597:F597"/>
    <mergeCell ref="A598:F598"/>
    <mergeCell ref="A599:F599"/>
    <mergeCell ref="A600:F600"/>
    <mergeCell ref="A601:F601"/>
    <mergeCell ref="A602:F602"/>
    <mergeCell ref="A603:F603"/>
    <mergeCell ref="A604:F604"/>
    <mergeCell ref="A587:F587"/>
    <mergeCell ref="A588:F588"/>
    <mergeCell ref="A589:F589"/>
    <mergeCell ref="A590:F590"/>
    <mergeCell ref="A591:F591"/>
    <mergeCell ref="A592:F592"/>
    <mergeCell ref="A593:F593"/>
    <mergeCell ref="A594:F594"/>
    <mergeCell ref="A595:F595"/>
    <mergeCell ref="B579:C579"/>
    <mergeCell ref="D579:F579"/>
    <mergeCell ref="A580:F580"/>
    <mergeCell ref="A581:F581"/>
    <mergeCell ref="A582:F582"/>
    <mergeCell ref="A583:F583"/>
    <mergeCell ref="A584:F584"/>
    <mergeCell ref="A585:F585"/>
    <mergeCell ref="A586:F586"/>
    <mergeCell ref="B574:C574"/>
    <mergeCell ref="D574:F574"/>
    <mergeCell ref="B575:C575"/>
    <mergeCell ref="D575:F575"/>
    <mergeCell ref="B576:C576"/>
    <mergeCell ref="D576:F576"/>
    <mergeCell ref="B577:C577"/>
    <mergeCell ref="D577:F577"/>
    <mergeCell ref="B578:C578"/>
    <mergeCell ref="D578:F578"/>
    <mergeCell ref="A567:F567"/>
    <mergeCell ref="A568:F568"/>
    <mergeCell ref="A569:F569"/>
    <mergeCell ref="A570:F570"/>
    <mergeCell ref="A571:F571"/>
    <mergeCell ref="B572:C572"/>
    <mergeCell ref="D572:F572"/>
    <mergeCell ref="B573:C573"/>
    <mergeCell ref="D573:F573"/>
    <mergeCell ref="A558:F558"/>
    <mergeCell ref="A559:F559"/>
    <mergeCell ref="A560:F560"/>
    <mergeCell ref="A561:F561"/>
    <mergeCell ref="A562:F562"/>
    <mergeCell ref="A563:F563"/>
    <mergeCell ref="A564:F564"/>
    <mergeCell ref="A565:F565"/>
    <mergeCell ref="A566:F566"/>
    <mergeCell ref="A549:F549"/>
    <mergeCell ref="A550:F550"/>
    <mergeCell ref="A551:F551"/>
    <mergeCell ref="A552:F552"/>
    <mergeCell ref="A553:F553"/>
    <mergeCell ref="A554:F554"/>
    <mergeCell ref="A555:F555"/>
    <mergeCell ref="A556:F556"/>
    <mergeCell ref="A557:F557"/>
    <mergeCell ref="A540:F540"/>
    <mergeCell ref="A541:F541"/>
    <mergeCell ref="A542:F542"/>
    <mergeCell ref="A543:F543"/>
    <mergeCell ref="A544:F544"/>
    <mergeCell ref="A545:F545"/>
    <mergeCell ref="A546:F546"/>
    <mergeCell ref="A547:F547"/>
    <mergeCell ref="A548:F548"/>
    <mergeCell ref="A531:F531"/>
    <mergeCell ref="A532:F532"/>
    <mergeCell ref="A533:F533"/>
    <mergeCell ref="A534:F534"/>
    <mergeCell ref="A535:F535"/>
    <mergeCell ref="A536:F536"/>
    <mergeCell ref="A537:F537"/>
    <mergeCell ref="A538:F538"/>
    <mergeCell ref="A539:F539"/>
    <mergeCell ref="A522:F522"/>
    <mergeCell ref="A523:F523"/>
    <mergeCell ref="A524:F524"/>
    <mergeCell ref="A525:F525"/>
    <mergeCell ref="A526:F526"/>
    <mergeCell ref="A527:F527"/>
    <mergeCell ref="A528:F528"/>
    <mergeCell ref="A529:F529"/>
    <mergeCell ref="A530:F530"/>
    <mergeCell ref="A513:F513"/>
    <mergeCell ref="A514:F514"/>
    <mergeCell ref="A515:F515"/>
    <mergeCell ref="A516:F516"/>
    <mergeCell ref="A517:F517"/>
    <mergeCell ref="A518:F518"/>
    <mergeCell ref="A519:F519"/>
    <mergeCell ref="A520:F520"/>
    <mergeCell ref="A521:F521"/>
    <mergeCell ref="A504:F504"/>
    <mergeCell ref="A505:F505"/>
    <mergeCell ref="A506:F506"/>
    <mergeCell ref="A507:F507"/>
    <mergeCell ref="A508:F508"/>
    <mergeCell ref="A509:F509"/>
    <mergeCell ref="A510:F510"/>
    <mergeCell ref="A511:F511"/>
    <mergeCell ref="A512:F512"/>
    <mergeCell ref="A495:F495"/>
    <mergeCell ref="A496:F496"/>
    <mergeCell ref="A497:F497"/>
    <mergeCell ref="A498:F498"/>
    <mergeCell ref="A499:F499"/>
    <mergeCell ref="A500:F500"/>
    <mergeCell ref="A501:F501"/>
    <mergeCell ref="A502:F502"/>
    <mergeCell ref="A503:F503"/>
    <mergeCell ref="A486:F486"/>
    <mergeCell ref="A487:F487"/>
    <mergeCell ref="A488:F488"/>
    <mergeCell ref="A489:F489"/>
    <mergeCell ref="A490:F490"/>
    <mergeCell ref="A491:F491"/>
    <mergeCell ref="A492:F492"/>
    <mergeCell ref="A493:F493"/>
    <mergeCell ref="A494:F494"/>
    <mergeCell ref="A477:F477"/>
    <mergeCell ref="A478:F478"/>
    <mergeCell ref="A479:F479"/>
    <mergeCell ref="A480:F480"/>
    <mergeCell ref="A481:F481"/>
    <mergeCell ref="A482:F482"/>
    <mergeCell ref="A483:F483"/>
    <mergeCell ref="A484:F484"/>
    <mergeCell ref="A485:F485"/>
    <mergeCell ref="A468:F468"/>
    <mergeCell ref="A469:F469"/>
    <mergeCell ref="A470:F470"/>
    <mergeCell ref="A471:F471"/>
    <mergeCell ref="A472:F472"/>
    <mergeCell ref="A473:F473"/>
    <mergeCell ref="A474:F474"/>
    <mergeCell ref="A475:F475"/>
    <mergeCell ref="A476:F476"/>
    <mergeCell ref="A459:F459"/>
    <mergeCell ref="A460:F460"/>
    <mergeCell ref="A461:F461"/>
    <mergeCell ref="A462:F462"/>
    <mergeCell ref="A463:F463"/>
    <mergeCell ref="A464:F464"/>
    <mergeCell ref="A465:F465"/>
    <mergeCell ref="A466:F466"/>
    <mergeCell ref="A467:F467"/>
    <mergeCell ref="A450:F450"/>
    <mergeCell ref="A451:F451"/>
    <mergeCell ref="A452:F452"/>
    <mergeCell ref="A453:F453"/>
    <mergeCell ref="A454:F454"/>
    <mergeCell ref="A455:F455"/>
    <mergeCell ref="A456:F456"/>
    <mergeCell ref="A457:F457"/>
    <mergeCell ref="A458:F458"/>
    <mergeCell ref="A441:F441"/>
    <mergeCell ref="A442:F442"/>
    <mergeCell ref="A443:F443"/>
    <mergeCell ref="A444:F444"/>
    <mergeCell ref="A445:F445"/>
    <mergeCell ref="A446:F446"/>
    <mergeCell ref="A447:F447"/>
    <mergeCell ref="A448:F448"/>
    <mergeCell ref="A449:F449"/>
    <mergeCell ref="A432:F432"/>
    <mergeCell ref="A433:F433"/>
    <mergeCell ref="A434:F434"/>
    <mergeCell ref="A435:F435"/>
    <mergeCell ref="A436:F436"/>
    <mergeCell ref="A437:F437"/>
    <mergeCell ref="A438:F438"/>
    <mergeCell ref="A439:F439"/>
    <mergeCell ref="A440:F440"/>
    <mergeCell ref="A423:F423"/>
    <mergeCell ref="A424:F424"/>
    <mergeCell ref="A425:F425"/>
    <mergeCell ref="A426:F426"/>
    <mergeCell ref="A427:F427"/>
    <mergeCell ref="A428:F428"/>
    <mergeCell ref="A429:F429"/>
    <mergeCell ref="A430:F430"/>
    <mergeCell ref="A431:F431"/>
    <mergeCell ref="A414:F414"/>
    <mergeCell ref="A415:F415"/>
    <mergeCell ref="A416:F416"/>
    <mergeCell ref="A417:F417"/>
    <mergeCell ref="A418:F418"/>
    <mergeCell ref="A419:F419"/>
    <mergeCell ref="A420:F420"/>
    <mergeCell ref="A421:F421"/>
    <mergeCell ref="A422:F422"/>
    <mergeCell ref="A405:F405"/>
    <mergeCell ref="A406:F406"/>
    <mergeCell ref="A407:F407"/>
    <mergeCell ref="A408:F408"/>
    <mergeCell ref="A409:F409"/>
    <mergeCell ref="A410:F410"/>
    <mergeCell ref="A411:F411"/>
    <mergeCell ref="A412:F412"/>
    <mergeCell ref="A413:F413"/>
    <mergeCell ref="A396:F396"/>
    <mergeCell ref="A397:F397"/>
    <mergeCell ref="A398:F398"/>
    <mergeCell ref="A399:F399"/>
    <mergeCell ref="A400:F400"/>
    <mergeCell ref="A401:F401"/>
    <mergeCell ref="A402:F402"/>
    <mergeCell ref="A403:F403"/>
    <mergeCell ref="A404:F404"/>
    <mergeCell ref="A387:F387"/>
    <mergeCell ref="A388:F388"/>
    <mergeCell ref="A389:F389"/>
    <mergeCell ref="A390:F390"/>
    <mergeCell ref="A391:F391"/>
    <mergeCell ref="A392:F392"/>
    <mergeCell ref="A393:F393"/>
    <mergeCell ref="A394:F394"/>
    <mergeCell ref="A395:F395"/>
    <mergeCell ref="A378:F378"/>
    <mergeCell ref="A379:F379"/>
    <mergeCell ref="A380:F380"/>
    <mergeCell ref="A381:F381"/>
    <mergeCell ref="A382:F382"/>
    <mergeCell ref="A383:F383"/>
    <mergeCell ref="A384:F384"/>
    <mergeCell ref="A385:F385"/>
    <mergeCell ref="A386:F386"/>
    <mergeCell ref="A369:F369"/>
    <mergeCell ref="A370:F370"/>
    <mergeCell ref="A371:F371"/>
    <mergeCell ref="A372:F372"/>
    <mergeCell ref="A373:F373"/>
    <mergeCell ref="A374:F374"/>
    <mergeCell ref="A375:F375"/>
    <mergeCell ref="A376:F376"/>
    <mergeCell ref="A377:F377"/>
    <mergeCell ref="A359:F359"/>
    <mergeCell ref="A360:F360"/>
    <mergeCell ref="A361:F361"/>
    <mergeCell ref="A363:F363"/>
    <mergeCell ref="A364:F364"/>
    <mergeCell ref="A365:F365"/>
    <mergeCell ref="A366:F366"/>
    <mergeCell ref="A367:F367"/>
    <mergeCell ref="A368:F368"/>
    <mergeCell ref="A350:F350"/>
    <mergeCell ref="A351:F351"/>
    <mergeCell ref="A352:F352"/>
    <mergeCell ref="A353:F353"/>
    <mergeCell ref="A354:F354"/>
    <mergeCell ref="A355:F355"/>
    <mergeCell ref="A356:F356"/>
    <mergeCell ref="A357:F357"/>
    <mergeCell ref="A358:F358"/>
    <mergeCell ref="A341:F341"/>
    <mergeCell ref="A342:F342"/>
    <mergeCell ref="A343:F343"/>
    <mergeCell ref="A344:F344"/>
    <mergeCell ref="A345:F345"/>
    <mergeCell ref="A346:F346"/>
    <mergeCell ref="A347:F347"/>
    <mergeCell ref="A348:F348"/>
    <mergeCell ref="A349:F349"/>
    <mergeCell ref="A331:F331"/>
    <mergeCell ref="A332:F332"/>
    <mergeCell ref="A333:F333"/>
    <mergeCell ref="A334:F334"/>
    <mergeCell ref="A335:F335"/>
    <mergeCell ref="A336:F336"/>
    <mergeCell ref="A337:F337"/>
    <mergeCell ref="A338:F338"/>
    <mergeCell ref="A339:F339"/>
    <mergeCell ref="A322:F322"/>
    <mergeCell ref="A323:F323"/>
    <mergeCell ref="A324:F324"/>
    <mergeCell ref="A325:F325"/>
    <mergeCell ref="A326:F326"/>
    <mergeCell ref="A327:F327"/>
    <mergeCell ref="A328:F328"/>
    <mergeCell ref="A329:F329"/>
    <mergeCell ref="A330:F330"/>
    <mergeCell ref="A313:F313"/>
    <mergeCell ref="A314:F314"/>
    <mergeCell ref="A315:F315"/>
    <mergeCell ref="A316:F316"/>
    <mergeCell ref="A317:F317"/>
    <mergeCell ref="A318:F318"/>
    <mergeCell ref="A319:F319"/>
    <mergeCell ref="A320:F320"/>
    <mergeCell ref="A321:F321"/>
    <mergeCell ref="A304:F304"/>
    <mergeCell ref="A305:F305"/>
    <mergeCell ref="A306:F306"/>
    <mergeCell ref="A307:F307"/>
    <mergeCell ref="A308:F308"/>
    <mergeCell ref="A309:F309"/>
    <mergeCell ref="A310:F310"/>
    <mergeCell ref="A311:F311"/>
    <mergeCell ref="A312:F312"/>
    <mergeCell ref="A295:F295"/>
    <mergeCell ref="A296:F296"/>
    <mergeCell ref="A297:F297"/>
    <mergeCell ref="A298:F298"/>
    <mergeCell ref="A299:F299"/>
    <mergeCell ref="A300:F300"/>
    <mergeCell ref="A301:F301"/>
    <mergeCell ref="A302:F302"/>
    <mergeCell ref="A303:F303"/>
    <mergeCell ref="A286:F286"/>
    <mergeCell ref="A287:F287"/>
    <mergeCell ref="A288:F288"/>
    <mergeCell ref="A289:F289"/>
    <mergeCell ref="A290:F290"/>
    <mergeCell ref="A291:F291"/>
    <mergeCell ref="A292:F292"/>
    <mergeCell ref="A293:F293"/>
    <mergeCell ref="A294:F294"/>
    <mergeCell ref="A277:A281"/>
    <mergeCell ref="B277:B281"/>
    <mergeCell ref="C277:F277"/>
    <mergeCell ref="C278:F278"/>
    <mergeCell ref="C279:F279"/>
    <mergeCell ref="C280:F280"/>
    <mergeCell ref="C281:F281"/>
    <mergeCell ref="A282:A285"/>
    <mergeCell ref="B282:B285"/>
    <mergeCell ref="C282:F282"/>
    <mergeCell ref="C283:F283"/>
    <mergeCell ref="C284:F284"/>
    <mergeCell ref="C285:F285"/>
    <mergeCell ref="C266:F266"/>
    <mergeCell ref="A267:A276"/>
    <mergeCell ref="B267:B276"/>
    <mergeCell ref="C267:F267"/>
    <mergeCell ref="C268:F268"/>
    <mergeCell ref="C269:F269"/>
    <mergeCell ref="C270:F270"/>
    <mergeCell ref="C271:F271"/>
    <mergeCell ref="C272:F272"/>
    <mergeCell ref="C273:F273"/>
    <mergeCell ref="C274:F274"/>
    <mergeCell ref="C275:F275"/>
    <mergeCell ref="C276:F276"/>
    <mergeCell ref="A255:A265"/>
    <mergeCell ref="B255:B265"/>
    <mergeCell ref="C255:F255"/>
    <mergeCell ref="C256:F256"/>
    <mergeCell ref="C257:F257"/>
    <mergeCell ref="C258:F258"/>
    <mergeCell ref="C259:F259"/>
    <mergeCell ref="C260:F260"/>
    <mergeCell ref="C261:F261"/>
    <mergeCell ref="C262:F262"/>
    <mergeCell ref="C263:F263"/>
    <mergeCell ref="C264:F264"/>
    <mergeCell ref="C265:F265"/>
    <mergeCell ref="A246:A254"/>
    <mergeCell ref="B246:B254"/>
    <mergeCell ref="C246:F246"/>
    <mergeCell ref="C247:F247"/>
    <mergeCell ref="C248:F248"/>
    <mergeCell ref="C249:F249"/>
    <mergeCell ref="C250:F250"/>
    <mergeCell ref="C251:F251"/>
    <mergeCell ref="C252:F252"/>
    <mergeCell ref="C253:F253"/>
    <mergeCell ref="C254:F254"/>
    <mergeCell ref="A238:A245"/>
    <mergeCell ref="B238:B245"/>
    <mergeCell ref="C238:F238"/>
    <mergeCell ref="C239:F239"/>
    <mergeCell ref="C240:F240"/>
    <mergeCell ref="C241:F241"/>
    <mergeCell ref="C242:F242"/>
    <mergeCell ref="C243:F243"/>
    <mergeCell ref="C244:F244"/>
    <mergeCell ref="C245:F245"/>
    <mergeCell ref="A229:A237"/>
    <mergeCell ref="B229:B237"/>
    <mergeCell ref="C229:F229"/>
    <mergeCell ref="C230:F230"/>
    <mergeCell ref="C231:F231"/>
    <mergeCell ref="C232:F232"/>
    <mergeCell ref="C233:F233"/>
    <mergeCell ref="C234:F234"/>
    <mergeCell ref="C235:F235"/>
    <mergeCell ref="C236:F236"/>
    <mergeCell ref="C237:F237"/>
    <mergeCell ref="A220:A228"/>
    <mergeCell ref="B220:B228"/>
    <mergeCell ref="C220:F220"/>
    <mergeCell ref="C221:F221"/>
    <mergeCell ref="C222:F222"/>
    <mergeCell ref="C223:F223"/>
    <mergeCell ref="C224:F224"/>
    <mergeCell ref="C225:F225"/>
    <mergeCell ref="C226:F226"/>
    <mergeCell ref="C227:F227"/>
    <mergeCell ref="C228:F228"/>
    <mergeCell ref="A205:F205"/>
    <mergeCell ref="A206:F206"/>
    <mergeCell ref="A207:F207"/>
    <mergeCell ref="A208:F208"/>
    <mergeCell ref="A209:A210"/>
    <mergeCell ref="B209:B210"/>
    <mergeCell ref="C209:F210"/>
    <mergeCell ref="A211:A219"/>
    <mergeCell ref="B211:B219"/>
    <mergeCell ref="C211:F211"/>
    <mergeCell ref="C212:F212"/>
    <mergeCell ref="C213:F213"/>
    <mergeCell ref="C214:F214"/>
    <mergeCell ref="C215:F215"/>
    <mergeCell ref="C216:F216"/>
    <mergeCell ref="C217:F217"/>
    <mergeCell ref="C218:F218"/>
    <mergeCell ref="C219:F219"/>
    <mergeCell ref="A195:F195"/>
    <mergeCell ref="A196:F196"/>
    <mergeCell ref="A197:F197"/>
    <mergeCell ref="A198:F198"/>
    <mergeCell ref="A199:F199"/>
    <mergeCell ref="A200:F200"/>
    <mergeCell ref="A201:F201"/>
    <mergeCell ref="A202:F202"/>
    <mergeCell ref="A203:F203"/>
    <mergeCell ref="A186:F186"/>
    <mergeCell ref="A187:F187"/>
    <mergeCell ref="A188:F188"/>
    <mergeCell ref="A189:F189"/>
    <mergeCell ref="A190:F190"/>
    <mergeCell ref="A191:F191"/>
    <mergeCell ref="A192:F192"/>
    <mergeCell ref="A193:F193"/>
    <mergeCell ref="A194:F194"/>
    <mergeCell ref="A177:F177"/>
    <mergeCell ref="A178:F178"/>
    <mergeCell ref="A179:F179"/>
    <mergeCell ref="A180:F180"/>
    <mergeCell ref="A181:F181"/>
    <mergeCell ref="A182:F182"/>
    <mergeCell ref="A183:F183"/>
    <mergeCell ref="A184:F184"/>
    <mergeCell ref="A185:F185"/>
    <mergeCell ref="A172:A174"/>
    <mergeCell ref="B172:B174"/>
    <mergeCell ref="C172:C174"/>
    <mergeCell ref="E172:F172"/>
    <mergeCell ref="E173:F173"/>
    <mergeCell ref="E174:F174"/>
    <mergeCell ref="A175:A176"/>
    <mergeCell ref="B175:B176"/>
    <mergeCell ref="C175:C176"/>
    <mergeCell ref="E175:F175"/>
    <mergeCell ref="E176:F176"/>
    <mergeCell ref="A164:F164"/>
    <mergeCell ref="A165:F165"/>
    <mergeCell ref="A166:F166"/>
    <mergeCell ref="A167:F167"/>
    <mergeCell ref="A168:F168"/>
    <mergeCell ref="A169:F169"/>
    <mergeCell ref="A170:A171"/>
    <mergeCell ref="B170:B171"/>
    <mergeCell ref="C170:C171"/>
    <mergeCell ref="D170:D171"/>
    <mergeCell ref="E170:F171"/>
    <mergeCell ref="A155:F155"/>
    <mergeCell ref="A156:F156"/>
    <mergeCell ref="A157:F157"/>
    <mergeCell ref="A158:F158"/>
    <mergeCell ref="A159:F159"/>
    <mergeCell ref="A160:F160"/>
    <mergeCell ref="A161:F161"/>
    <mergeCell ref="A162:F162"/>
    <mergeCell ref="A163:F163"/>
    <mergeCell ref="A146:F146"/>
    <mergeCell ref="A147:F147"/>
    <mergeCell ref="A148:F148"/>
    <mergeCell ref="A149:F149"/>
    <mergeCell ref="A150:F150"/>
    <mergeCell ref="A151:F151"/>
    <mergeCell ref="A152:F152"/>
    <mergeCell ref="A153:F153"/>
    <mergeCell ref="A154:F154"/>
    <mergeCell ref="A139:D139"/>
    <mergeCell ref="E139:F139"/>
    <mergeCell ref="A140:D140"/>
    <mergeCell ref="E140:F140"/>
    <mergeCell ref="A141:D141"/>
    <mergeCell ref="E141:F141"/>
    <mergeCell ref="A142:D142"/>
    <mergeCell ref="E142:F142"/>
    <mergeCell ref="A145:F145"/>
    <mergeCell ref="A130:F130"/>
    <mergeCell ref="A131:F131"/>
    <mergeCell ref="A132:F132"/>
    <mergeCell ref="A133:F133"/>
    <mergeCell ref="A134:F134"/>
    <mergeCell ref="A135:F135"/>
    <mergeCell ref="A136:F136"/>
    <mergeCell ref="A137:F137"/>
    <mergeCell ref="A138:F138"/>
    <mergeCell ref="A121:F121"/>
    <mergeCell ref="A122:F122"/>
    <mergeCell ref="A123:F123"/>
    <mergeCell ref="A124:F124"/>
    <mergeCell ref="A125:F125"/>
    <mergeCell ref="A126:F126"/>
    <mergeCell ref="A127:F127"/>
    <mergeCell ref="A128:F128"/>
    <mergeCell ref="A129:F129"/>
    <mergeCell ref="B115:C115"/>
    <mergeCell ref="D115:F115"/>
    <mergeCell ref="B116:C116"/>
    <mergeCell ref="D116:F116"/>
    <mergeCell ref="B117:C117"/>
    <mergeCell ref="D117:F117"/>
    <mergeCell ref="A118:F118"/>
    <mergeCell ref="A119:F119"/>
    <mergeCell ref="A120:F120"/>
    <mergeCell ref="B110:C110"/>
    <mergeCell ref="D110:F110"/>
    <mergeCell ref="B111:C111"/>
    <mergeCell ref="D111:F111"/>
    <mergeCell ref="B112:C112"/>
    <mergeCell ref="D112:F112"/>
    <mergeCell ref="B113:C113"/>
    <mergeCell ref="D113:F113"/>
    <mergeCell ref="B114:C114"/>
    <mergeCell ref="D114:F114"/>
    <mergeCell ref="A102:F102"/>
    <mergeCell ref="A103:F103"/>
    <mergeCell ref="A104:F104"/>
    <mergeCell ref="A105:F105"/>
    <mergeCell ref="A106:F106"/>
    <mergeCell ref="A107:F107"/>
    <mergeCell ref="A108:F108"/>
    <mergeCell ref="B109:C109"/>
    <mergeCell ref="D109:F109"/>
    <mergeCell ref="A92:E92"/>
    <mergeCell ref="A93:E93"/>
    <mergeCell ref="A94:E94"/>
    <mergeCell ref="A96:F96"/>
    <mergeCell ref="A97:F97"/>
    <mergeCell ref="A98:F98"/>
    <mergeCell ref="A99:F99"/>
    <mergeCell ref="A100:F100"/>
    <mergeCell ref="A101:F101"/>
    <mergeCell ref="A83:E83"/>
    <mergeCell ref="A84:E84"/>
    <mergeCell ref="A85:E85"/>
    <mergeCell ref="A86:E86"/>
    <mergeCell ref="A87:E87"/>
    <mergeCell ref="A88:E88"/>
    <mergeCell ref="A89:E89"/>
    <mergeCell ref="A90:E90"/>
    <mergeCell ref="A91:E91"/>
    <mergeCell ref="A74:E74"/>
    <mergeCell ref="A75:E75"/>
    <mergeCell ref="A76:E76"/>
    <mergeCell ref="A77:E77"/>
    <mergeCell ref="A78:E78"/>
    <mergeCell ref="A79:E79"/>
    <mergeCell ref="A80:E80"/>
    <mergeCell ref="A81:E81"/>
    <mergeCell ref="A82:E82"/>
    <mergeCell ref="A65:E65"/>
    <mergeCell ref="A66:E66"/>
    <mergeCell ref="A67:E67"/>
    <mergeCell ref="A68:E68"/>
    <mergeCell ref="A69:E69"/>
    <mergeCell ref="A70:E70"/>
    <mergeCell ref="A71:E71"/>
    <mergeCell ref="A72:E72"/>
    <mergeCell ref="A73:E73"/>
    <mergeCell ref="A56:E56"/>
    <mergeCell ref="A57:E57"/>
    <mergeCell ref="A58:E58"/>
    <mergeCell ref="A59:E59"/>
    <mergeCell ref="A60:E60"/>
    <mergeCell ref="A61:E61"/>
    <mergeCell ref="A62:E62"/>
    <mergeCell ref="A63:E63"/>
    <mergeCell ref="A64:E64"/>
    <mergeCell ref="A47:E47"/>
    <mergeCell ref="A48:E48"/>
    <mergeCell ref="A49:E49"/>
    <mergeCell ref="A50:E50"/>
    <mergeCell ref="A51:E51"/>
    <mergeCell ref="A52:E52"/>
    <mergeCell ref="A53:E53"/>
    <mergeCell ref="A54:E54"/>
    <mergeCell ref="A55:E55"/>
    <mergeCell ref="A38:E38"/>
    <mergeCell ref="A39:E39"/>
    <mergeCell ref="A40:E40"/>
    <mergeCell ref="A41:E41"/>
    <mergeCell ref="A42:E42"/>
    <mergeCell ref="A43:E43"/>
    <mergeCell ref="A44:E44"/>
    <mergeCell ref="A45:E45"/>
    <mergeCell ref="A46:E46"/>
    <mergeCell ref="A1:F1"/>
    <mergeCell ref="A13:F13"/>
    <mergeCell ref="A14:F14"/>
    <mergeCell ref="A32:F32"/>
    <mergeCell ref="A33:F33"/>
    <mergeCell ref="A34:E34"/>
    <mergeCell ref="A35:E35"/>
    <mergeCell ref="A36:E36"/>
    <mergeCell ref="A37:E37"/>
  </mergeCells>
  <pageMargins left="1.1798611111111099" right="0.79027777777777797" top="0.97986111111111096" bottom="0.97986111111111096" header="0.511811023622047" footer="0.3"/>
  <pageSetup paperSize="9" fitToHeight="0" orientation="portrait" horizontalDpi="300" verticalDpi="300"/>
  <headerFooter>
    <oddFooter>&amp;CTrang &amp;P/&amp;N</oddFooter>
  </headerFooter>
  <rowBreaks count="2" manualBreakCount="2">
    <brk id="32" max="16383" man="1"/>
    <brk id="94"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70C0"/>
    <pageSetUpPr fitToPage="1"/>
  </sheetPr>
  <dimension ref="A1:E142"/>
  <sheetViews>
    <sheetView showGridLines="0" zoomScaleNormal="100" workbookViewId="0">
      <selection activeCell="A2" sqref="A2:B2"/>
    </sheetView>
  </sheetViews>
  <sheetFormatPr defaultColWidth="8.6640625" defaultRowHeight="14.4" x14ac:dyDescent="0.3"/>
  <cols>
    <col min="1" max="1" width="27" customWidth="1"/>
    <col min="2" max="2" width="19" customWidth="1"/>
    <col min="3" max="3" width="17" customWidth="1"/>
    <col min="4" max="4" width="18" customWidth="1"/>
    <col min="5" max="5" width="17" customWidth="1"/>
    <col min="6" max="19" width="2" customWidth="1"/>
  </cols>
  <sheetData>
    <row r="1" spans="1:5" ht="18" customHeight="1" x14ac:dyDescent="0.3">
      <c r="A1" s="366" t="s">
        <v>2016</v>
      </c>
      <c r="B1" s="366"/>
      <c r="C1" s="366" t="s">
        <v>244</v>
      </c>
      <c r="D1" s="366"/>
      <c r="E1" s="366"/>
    </row>
    <row r="2" spans="1:5" ht="18" customHeight="1" x14ac:dyDescent="0.3">
      <c r="A2" s="367" t="s">
        <v>1304</v>
      </c>
      <c r="B2" s="367"/>
      <c r="C2" s="366" t="s">
        <v>246</v>
      </c>
      <c r="D2" s="366"/>
      <c r="E2" s="366"/>
    </row>
    <row r="3" spans="1:5" ht="18" customHeight="1" x14ac:dyDescent="0.3">
      <c r="A3" s="367" t="s">
        <v>1305</v>
      </c>
      <c r="B3" s="367"/>
      <c r="C3" s="367" t="s">
        <v>1305</v>
      </c>
      <c r="D3" s="367"/>
      <c r="E3" s="367"/>
    </row>
    <row r="4" spans="1:5" ht="18" customHeight="1" x14ac:dyDescent="0.3">
      <c r="A4" s="270"/>
      <c r="C4" s="368" t="s">
        <v>1306</v>
      </c>
      <c r="D4" s="368"/>
      <c r="E4" s="368"/>
    </row>
    <row r="5" spans="1:5" ht="22.5" customHeight="1" x14ac:dyDescent="0.3">
      <c r="A5" s="369" t="s">
        <v>1307</v>
      </c>
      <c r="B5" s="369"/>
      <c r="C5" s="369"/>
      <c r="D5" s="369"/>
      <c r="E5" s="369"/>
    </row>
    <row r="6" spans="1:5" ht="18.75" customHeight="1" x14ac:dyDescent="0.3">
      <c r="A6" s="368" t="s">
        <v>1308</v>
      </c>
      <c r="B6" s="368"/>
      <c r="C6" s="368"/>
      <c r="D6" s="368"/>
      <c r="E6" s="368"/>
    </row>
    <row r="7" spans="1:5" ht="35.25" customHeight="1" x14ac:dyDescent="0.3">
      <c r="A7" s="368" t="s">
        <v>1309</v>
      </c>
      <c r="B7" s="368"/>
      <c r="C7" s="368"/>
      <c r="D7" s="368"/>
      <c r="E7" s="368"/>
    </row>
    <row r="8" spans="1:5" ht="19.5" customHeight="1" x14ac:dyDescent="0.3">
      <c r="A8" s="349" t="s">
        <v>1310</v>
      </c>
      <c r="B8" s="349"/>
      <c r="C8" s="349"/>
      <c r="D8" s="349"/>
      <c r="E8" s="349"/>
    </row>
    <row r="9" spans="1:5" ht="19.5" customHeight="1" x14ac:dyDescent="0.3">
      <c r="A9" s="349" t="s">
        <v>1311</v>
      </c>
      <c r="B9" s="349"/>
      <c r="C9" s="349"/>
      <c r="D9" s="349"/>
      <c r="E9" s="349"/>
    </row>
    <row r="10" spans="1:5" ht="19.5" customHeight="1" x14ac:dyDescent="0.3">
      <c r="A10" s="370" t="s">
        <v>1312</v>
      </c>
      <c r="B10" s="370"/>
      <c r="C10" s="370"/>
      <c r="D10" s="370"/>
      <c r="E10" s="370"/>
    </row>
    <row r="11" spans="1:5" ht="56.25" customHeight="1" x14ac:dyDescent="0.3">
      <c r="A11" s="371" t="s">
        <v>1313</v>
      </c>
      <c r="B11" s="371"/>
      <c r="C11" s="371"/>
      <c r="D11" s="371"/>
      <c r="E11" s="371"/>
    </row>
    <row r="12" spans="1:5" ht="38.25" customHeight="1" x14ac:dyDescent="0.3">
      <c r="A12" s="355" t="s">
        <v>1314</v>
      </c>
      <c r="B12" s="355"/>
      <c r="C12" s="355"/>
      <c r="D12" s="355"/>
      <c r="E12" s="355"/>
    </row>
    <row r="13" spans="1:5" ht="38.25" customHeight="1" x14ac:dyDescent="0.3">
      <c r="A13" s="355" t="s">
        <v>1315</v>
      </c>
      <c r="B13" s="355"/>
      <c r="C13" s="355"/>
      <c r="D13" s="355"/>
      <c r="E13" s="355"/>
    </row>
    <row r="14" spans="1:5" ht="38.25" customHeight="1" x14ac:dyDescent="0.3">
      <c r="A14" s="355" t="s">
        <v>1316</v>
      </c>
      <c r="B14" s="355"/>
      <c r="C14" s="355"/>
      <c r="D14" s="355"/>
      <c r="E14" s="355"/>
    </row>
    <row r="15" spans="1:5" ht="19.5" customHeight="1" x14ac:dyDescent="0.3">
      <c r="A15" s="370" t="s">
        <v>1317</v>
      </c>
      <c r="B15" s="370"/>
      <c r="C15" s="370"/>
      <c r="D15" s="370"/>
      <c r="E15" s="370"/>
    </row>
    <row r="16" spans="1:5" ht="74.25" customHeight="1" x14ac:dyDescent="0.3">
      <c r="A16" s="371" t="s">
        <v>1318</v>
      </c>
      <c r="B16" s="371"/>
      <c r="C16" s="371"/>
      <c r="D16" s="371"/>
      <c r="E16" s="371"/>
    </row>
    <row r="17" spans="1:5" ht="19.5" customHeight="1" x14ac:dyDescent="0.3">
      <c r="A17" s="370" t="s">
        <v>1319</v>
      </c>
      <c r="B17" s="370"/>
      <c r="C17" s="370"/>
      <c r="D17" s="370"/>
      <c r="E17" s="370"/>
    </row>
    <row r="18" spans="1:5" ht="56.25" customHeight="1" x14ac:dyDescent="0.3">
      <c r="A18" s="355" t="s">
        <v>1320</v>
      </c>
      <c r="B18" s="355"/>
      <c r="C18" s="355"/>
      <c r="D18" s="355"/>
      <c r="E18" s="355"/>
    </row>
    <row r="19" spans="1:5" ht="74.25" customHeight="1" x14ac:dyDescent="0.3">
      <c r="A19" s="355" t="s">
        <v>1321</v>
      </c>
      <c r="B19" s="355"/>
      <c r="C19" s="355"/>
      <c r="D19" s="355"/>
      <c r="E19" s="355"/>
    </row>
    <row r="20" spans="1:5" ht="38.25" customHeight="1" x14ac:dyDescent="0.3">
      <c r="A20" s="355" t="s">
        <v>1322</v>
      </c>
      <c r="B20" s="355"/>
      <c r="C20" s="355"/>
      <c r="D20" s="355"/>
      <c r="E20" s="355"/>
    </row>
    <row r="21" spans="1:5" ht="38.25" customHeight="1" x14ac:dyDescent="0.3">
      <c r="A21" s="355" t="s">
        <v>1323</v>
      </c>
      <c r="B21" s="355"/>
      <c r="C21" s="355"/>
      <c r="D21" s="355"/>
      <c r="E21" s="355"/>
    </row>
    <row r="22" spans="1:5" ht="19.5" customHeight="1" x14ac:dyDescent="0.3">
      <c r="A22" s="370" t="s">
        <v>1324</v>
      </c>
      <c r="B22" s="370"/>
      <c r="C22" s="370"/>
      <c r="D22" s="370"/>
      <c r="E22" s="370"/>
    </row>
    <row r="23" spans="1:5" ht="56.25" customHeight="1" x14ac:dyDescent="0.3">
      <c r="A23" s="371" t="s">
        <v>1325</v>
      </c>
      <c r="B23" s="371"/>
      <c r="C23" s="371"/>
      <c r="D23" s="371"/>
      <c r="E23" s="371"/>
    </row>
    <row r="24" spans="1:5" ht="33" customHeight="1" x14ac:dyDescent="0.3">
      <c r="A24" s="271" t="s">
        <v>1326</v>
      </c>
      <c r="B24" s="272" t="s">
        <v>1327</v>
      </c>
      <c r="C24" s="372" t="s">
        <v>1328</v>
      </c>
      <c r="D24" s="372"/>
      <c r="E24" s="372"/>
    </row>
    <row r="25" spans="1:5" ht="17.25" customHeight="1" x14ac:dyDescent="0.3">
      <c r="A25" s="45" t="s">
        <v>1329</v>
      </c>
      <c r="B25" s="46" t="s">
        <v>1330</v>
      </c>
      <c r="C25" s="373" t="s">
        <v>1331</v>
      </c>
      <c r="D25" s="373"/>
      <c r="E25" s="373"/>
    </row>
    <row r="26" spans="1:5" ht="17.25" customHeight="1" x14ac:dyDescent="0.3">
      <c r="A26" s="45" t="s">
        <v>1332</v>
      </c>
      <c r="B26" s="46" t="s">
        <v>1333</v>
      </c>
      <c r="C26" s="373" t="s">
        <v>1334</v>
      </c>
      <c r="D26" s="373"/>
      <c r="E26" s="373"/>
    </row>
    <row r="27" spans="1:5" ht="17.25" customHeight="1" x14ac:dyDescent="0.3">
      <c r="A27" s="45" t="s">
        <v>1335</v>
      </c>
      <c r="B27" s="46" t="s">
        <v>1336</v>
      </c>
      <c r="C27" s="373" t="s">
        <v>1337</v>
      </c>
      <c r="D27" s="373"/>
      <c r="E27" s="373"/>
    </row>
    <row r="28" spans="1:5" ht="17.25" customHeight="1" x14ac:dyDescent="0.3">
      <c r="A28" s="45" t="s">
        <v>1338</v>
      </c>
      <c r="B28" s="46" t="s">
        <v>1339</v>
      </c>
      <c r="C28" s="373" t="s">
        <v>1340</v>
      </c>
      <c r="D28" s="373"/>
      <c r="E28" s="373"/>
    </row>
    <row r="29" spans="1:5" ht="92.25" customHeight="1" x14ac:dyDescent="0.3">
      <c r="A29" s="374" t="s">
        <v>1341</v>
      </c>
      <c r="B29" s="374"/>
      <c r="C29" s="374"/>
      <c r="D29" s="374"/>
      <c r="E29" s="374"/>
    </row>
    <row r="30" spans="1:5" ht="19.5" customHeight="1" x14ac:dyDescent="0.3">
      <c r="A30" s="349" t="s">
        <v>1342</v>
      </c>
      <c r="B30" s="349"/>
      <c r="C30" s="349"/>
      <c r="D30" s="349"/>
      <c r="E30" s="349"/>
    </row>
    <row r="31" spans="1:5" ht="19.5" customHeight="1" x14ac:dyDescent="0.3">
      <c r="A31" s="349" t="s">
        <v>1343</v>
      </c>
      <c r="B31" s="349"/>
      <c r="C31" s="349"/>
      <c r="D31" s="349"/>
      <c r="E31" s="349"/>
    </row>
    <row r="32" spans="1:5" ht="19.5" customHeight="1" x14ac:dyDescent="0.3">
      <c r="A32" s="370" t="s">
        <v>1344</v>
      </c>
      <c r="B32" s="370"/>
      <c r="C32" s="370"/>
      <c r="D32" s="370"/>
      <c r="E32" s="370"/>
    </row>
    <row r="33" spans="1:5" ht="33" customHeight="1" x14ac:dyDescent="0.3">
      <c r="A33" s="271" t="s">
        <v>1345</v>
      </c>
      <c r="B33" s="272" t="s">
        <v>1346</v>
      </c>
      <c r="C33" s="272" t="s">
        <v>1347</v>
      </c>
      <c r="D33" s="372" t="s">
        <v>1348</v>
      </c>
      <c r="E33" s="372"/>
    </row>
    <row r="34" spans="1:5" ht="63.75" customHeight="1" x14ac:dyDescent="0.3">
      <c r="A34" s="45">
        <v>1</v>
      </c>
      <c r="B34" s="46" t="s">
        <v>1349</v>
      </c>
      <c r="C34" s="46" t="s">
        <v>1350</v>
      </c>
      <c r="D34" s="373" t="s">
        <v>1351</v>
      </c>
      <c r="E34" s="373"/>
    </row>
    <row r="35" spans="1:5" ht="33" customHeight="1" x14ac:dyDescent="0.3">
      <c r="A35" s="45">
        <v>2</v>
      </c>
      <c r="B35" s="46" t="s">
        <v>1352</v>
      </c>
      <c r="C35" s="46" t="s">
        <v>1353</v>
      </c>
      <c r="D35" s="373" t="s">
        <v>1354</v>
      </c>
      <c r="E35" s="373"/>
    </row>
    <row r="36" spans="1:5" ht="33" customHeight="1" x14ac:dyDescent="0.3">
      <c r="A36" s="45">
        <v>3</v>
      </c>
      <c r="B36" s="46" t="s">
        <v>1355</v>
      </c>
      <c r="C36" s="46" t="s">
        <v>1356</v>
      </c>
      <c r="D36" s="373" t="s">
        <v>1357</v>
      </c>
      <c r="E36" s="373"/>
    </row>
    <row r="37" spans="1:5" ht="63.75" customHeight="1" x14ac:dyDescent="0.3">
      <c r="A37" s="45">
        <v>4</v>
      </c>
      <c r="B37" s="46" t="s">
        <v>1358</v>
      </c>
      <c r="C37" s="46" t="s">
        <v>1359</v>
      </c>
      <c r="D37" s="373" t="s">
        <v>1360</v>
      </c>
      <c r="E37" s="373"/>
    </row>
    <row r="38" spans="1:5" ht="38.25" customHeight="1" x14ac:dyDescent="0.3">
      <c r="A38" s="374" t="s">
        <v>1361</v>
      </c>
      <c r="B38" s="374"/>
      <c r="C38" s="374"/>
      <c r="D38" s="374"/>
      <c r="E38" s="374"/>
    </row>
    <row r="39" spans="1:5" ht="19.5" customHeight="1" x14ac:dyDescent="0.3">
      <c r="A39" s="370" t="s">
        <v>1362</v>
      </c>
      <c r="B39" s="370"/>
      <c r="C39" s="370"/>
      <c r="D39" s="370"/>
      <c r="E39" s="370"/>
    </row>
    <row r="40" spans="1:5" ht="33" customHeight="1" x14ac:dyDescent="0.3">
      <c r="A40" s="271" t="s">
        <v>1363</v>
      </c>
      <c r="B40" s="272" t="s">
        <v>1364</v>
      </c>
      <c r="C40" s="272" t="s">
        <v>1365</v>
      </c>
      <c r="D40" s="372" t="s">
        <v>1366</v>
      </c>
      <c r="E40" s="372"/>
    </row>
    <row r="41" spans="1:5" ht="17.25" customHeight="1" x14ac:dyDescent="0.3">
      <c r="A41" s="45" t="s">
        <v>1367</v>
      </c>
      <c r="B41" s="46" t="s">
        <v>1368</v>
      </c>
      <c r="C41" s="46" t="s">
        <v>1369</v>
      </c>
      <c r="D41" s="373" t="s">
        <v>1370</v>
      </c>
      <c r="E41" s="373"/>
    </row>
    <row r="42" spans="1:5" ht="33" customHeight="1" x14ac:dyDescent="0.3">
      <c r="A42" s="45" t="s">
        <v>1371</v>
      </c>
      <c r="B42" s="46" t="s">
        <v>1369</v>
      </c>
      <c r="C42" s="46" t="s">
        <v>1370</v>
      </c>
      <c r="D42" s="373" t="s">
        <v>1372</v>
      </c>
      <c r="E42" s="373"/>
    </row>
    <row r="43" spans="1:5" ht="17.25" customHeight="1" x14ac:dyDescent="0.3">
      <c r="A43" s="45" t="s">
        <v>1373</v>
      </c>
      <c r="B43" s="46" t="s">
        <v>1370</v>
      </c>
      <c r="C43" s="46" t="s">
        <v>1372</v>
      </c>
      <c r="D43" s="373" t="s">
        <v>1374</v>
      </c>
      <c r="E43" s="373"/>
    </row>
    <row r="44" spans="1:5" ht="38.25" customHeight="1" x14ac:dyDescent="0.3">
      <c r="A44" s="374" t="s">
        <v>1375</v>
      </c>
      <c r="B44" s="374"/>
      <c r="C44" s="374"/>
      <c r="D44" s="374"/>
      <c r="E44" s="374"/>
    </row>
    <row r="45" spans="1:5" ht="19.5" customHeight="1" x14ac:dyDescent="0.3">
      <c r="A45" s="370" t="s">
        <v>1376</v>
      </c>
      <c r="B45" s="370"/>
      <c r="C45" s="370"/>
      <c r="D45" s="370"/>
      <c r="E45" s="370"/>
    </row>
    <row r="46" spans="1:5" ht="33" customHeight="1" x14ac:dyDescent="0.3">
      <c r="A46" s="271" t="s">
        <v>1345</v>
      </c>
      <c r="B46" s="272" t="s">
        <v>1346</v>
      </c>
      <c r="C46" s="372" t="s">
        <v>1348</v>
      </c>
      <c r="D46" s="372"/>
      <c r="E46" s="372"/>
    </row>
    <row r="47" spans="1:5" ht="33" customHeight="1" x14ac:dyDescent="0.3">
      <c r="A47" s="45">
        <v>1</v>
      </c>
      <c r="B47" s="46" t="s">
        <v>1377</v>
      </c>
      <c r="C47" s="373" t="s">
        <v>1378</v>
      </c>
      <c r="D47" s="373"/>
      <c r="E47" s="373"/>
    </row>
    <row r="48" spans="1:5" ht="33" customHeight="1" x14ac:dyDescent="0.3">
      <c r="A48" s="45">
        <v>2</v>
      </c>
      <c r="B48" s="46" t="s">
        <v>1379</v>
      </c>
      <c r="C48" s="373" t="s">
        <v>1380</v>
      </c>
      <c r="D48" s="373"/>
      <c r="E48" s="373"/>
    </row>
    <row r="49" spans="1:5" ht="17.25" customHeight="1" x14ac:dyDescent="0.3">
      <c r="A49" s="45">
        <v>3</v>
      </c>
      <c r="B49" s="46" t="s">
        <v>1381</v>
      </c>
      <c r="C49" s="373" t="s">
        <v>1382</v>
      </c>
      <c r="D49" s="373"/>
      <c r="E49" s="373"/>
    </row>
    <row r="50" spans="1:5" ht="19.5" customHeight="1" x14ac:dyDescent="0.3">
      <c r="A50" s="349" t="s">
        <v>1383</v>
      </c>
      <c r="B50" s="349"/>
      <c r="C50" s="349"/>
      <c r="D50" s="349"/>
      <c r="E50" s="349"/>
    </row>
    <row r="51" spans="1:5" ht="19.5" customHeight="1" x14ac:dyDescent="0.3">
      <c r="A51" s="349" t="s">
        <v>1384</v>
      </c>
      <c r="B51" s="349"/>
      <c r="C51" s="349"/>
      <c r="D51" s="349"/>
      <c r="E51" s="349"/>
    </row>
    <row r="52" spans="1:5" ht="19.5" customHeight="1" x14ac:dyDescent="0.3">
      <c r="A52" s="370" t="s">
        <v>1385</v>
      </c>
      <c r="B52" s="370"/>
      <c r="C52" s="370"/>
      <c r="D52" s="370"/>
      <c r="E52" s="370"/>
    </row>
    <row r="53" spans="1:5" ht="110.25" customHeight="1" x14ac:dyDescent="0.3">
      <c r="A53" s="371" t="s">
        <v>1386</v>
      </c>
      <c r="B53" s="371"/>
      <c r="C53" s="371"/>
      <c r="D53" s="371"/>
      <c r="E53" s="371"/>
    </row>
    <row r="54" spans="1:5" ht="19.5" customHeight="1" x14ac:dyDescent="0.3">
      <c r="A54" s="370" t="s">
        <v>1387</v>
      </c>
      <c r="B54" s="370"/>
      <c r="C54" s="370"/>
      <c r="D54" s="370"/>
      <c r="E54" s="370"/>
    </row>
    <row r="55" spans="1:5" ht="38.25" customHeight="1" x14ac:dyDescent="0.3">
      <c r="A55" s="371" t="s">
        <v>1388</v>
      </c>
      <c r="B55" s="371"/>
      <c r="C55" s="371"/>
      <c r="D55" s="371"/>
      <c r="E55" s="371"/>
    </row>
    <row r="56" spans="1:5" ht="19.5" customHeight="1" x14ac:dyDescent="0.3">
      <c r="A56" s="370" t="s">
        <v>1389</v>
      </c>
      <c r="B56" s="370"/>
      <c r="C56" s="370"/>
      <c r="D56" s="370"/>
      <c r="E56" s="370"/>
    </row>
    <row r="57" spans="1:5" ht="33" customHeight="1" x14ac:dyDescent="0.3">
      <c r="A57" s="271" t="s">
        <v>1390</v>
      </c>
      <c r="B57" s="372" t="s">
        <v>1391</v>
      </c>
      <c r="C57" s="372"/>
      <c r="D57" s="372"/>
      <c r="E57" s="372"/>
    </row>
    <row r="58" spans="1:5" ht="33" customHeight="1" x14ac:dyDescent="0.3">
      <c r="A58" s="45" t="s">
        <v>1392</v>
      </c>
      <c r="B58" s="373" t="s">
        <v>1393</v>
      </c>
      <c r="C58" s="373"/>
      <c r="D58" s="373"/>
      <c r="E58" s="373"/>
    </row>
    <row r="59" spans="1:5" ht="33" customHeight="1" x14ac:dyDescent="0.3">
      <c r="A59" s="45" t="s">
        <v>1394</v>
      </c>
      <c r="B59" s="373" t="s">
        <v>1395</v>
      </c>
      <c r="C59" s="373"/>
      <c r="D59" s="373"/>
      <c r="E59" s="373"/>
    </row>
    <row r="60" spans="1:5" ht="33" customHeight="1" x14ac:dyDescent="0.3">
      <c r="A60" s="45" t="s">
        <v>1396</v>
      </c>
      <c r="B60" s="373" t="s">
        <v>1397</v>
      </c>
      <c r="C60" s="373"/>
      <c r="D60" s="373"/>
      <c r="E60" s="373"/>
    </row>
    <row r="61" spans="1:5" ht="19.5" customHeight="1" x14ac:dyDescent="0.3">
      <c r="A61" s="370" t="s">
        <v>1398</v>
      </c>
      <c r="B61" s="370"/>
      <c r="C61" s="370"/>
      <c r="D61" s="370"/>
      <c r="E61" s="370"/>
    </row>
    <row r="62" spans="1:5" ht="33" customHeight="1" x14ac:dyDescent="0.3">
      <c r="A62" s="271" t="s">
        <v>1390</v>
      </c>
      <c r="B62" s="372" t="s">
        <v>1391</v>
      </c>
      <c r="C62" s="372"/>
      <c r="D62" s="372"/>
      <c r="E62" s="372"/>
    </row>
    <row r="63" spans="1:5" ht="33" customHeight="1" x14ac:dyDescent="0.3">
      <c r="A63" s="45" t="s">
        <v>1399</v>
      </c>
      <c r="B63" s="373" t="s">
        <v>1393</v>
      </c>
      <c r="C63" s="373"/>
      <c r="D63" s="373"/>
      <c r="E63" s="373"/>
    </row>
    <row r="64" spans="1:5" ht="33" customHeight="1" x14ac:dyDescent="0.3">
      <c r="A64" s="45" t="s">
        <v>1400</v>
      </c>
      <c r="B64" s="373" t="s">
        <v>1395</v>
      </c>
      <c r="C64" s="373"/>
      <c r="D64" s="373"/>
      <c r="E64" s="373"/>
    </row>
    <row r="65" spans="1:5" ht="33" customHeight="1" x14ac:dyDescent="0.3">
      <c r="A65" s="45" t="s">
        <v>1401</v>
      </c>
      <c r="B65" s="373" t="s">
        <v>1397</v>
      </c>
      <c r="C65" s="373"/>
      <c r="D65" s="373"/>
      <c r="E65" s="373"/>
    </row>
    <row r="66" spans="1:5" ht="19.5" customHeight="1" x14ac:dyDescent="0.3">
      <c r="A66" s="370" t="s">
        <v>1402</v>
      </c>
      <c r="B66" s="370"/>
      <c r="C66" s="370"/>
      <c r="D66" s="370"/>
      <c r="E66" s="370"/>
    </row>
    <row r="67" spans="1:5" ht="17.25" customHeight="1" x14ac:dyDescent="0.3">
      <c r="A67" s="271" t="s">
        <v>1403</v>
      </c>
      <c r="B67" s="372" t="s">
        <v>1404</v>
      </c>
      <c r="C67" s="372"/>
      <c r="D67" s="372"/>
      <c r="E67" s="372"/>
    </row>
    <row r="68" spans="1:5" ht="17.25" customHeight="1" x14ac:dyDescent="0.3">
      <c r="A68" s="45" t="s">
        <v>1405</v>
      </c>
      <c r="B68" s="373" t="s">
        <v>1406</v>
      </c>
      <c r="C68" s="373"/>
      <c r="D68" s="373"/>
      <c r="E68" s="373"/>
    </row>
    <row r="69" spans="1:5" ht="17.25" customHeight="1" x14ac:dyDescent="0.3">
      <c r="A69" s="45" t="s">
        <v>1407</v>
      </c>
      <c r="B69" s="373" t="s">
        <v>1408</v>
      </c>
      <c r="C69" s="373"/>
      <c r="D69" s="373"/>
      <c r="E69" s="373"/>
    </row>
    <row r="70" spans="1:5" ht="74.25" customHeight="1" x14ac:dyDescent="0.3">
      <c r="A70" s="374" t="s">
        <v>1409</v>
      </c>
      <c r="B70" s="374"/>
      <c r="C70" s="374"/>
      <c r="D70" s="374"/>
      <c r="E70" s="374"/>
    </row>
    <row r="71" spans="1:5" ht="19.5" customHeight="1" x14ac:dyDescent="0.3">
      <c r="A71" s="370" t="s">
        <v>1410</v>
      </c>
      <c r="B71" s="370"/>
      <c r="C71" s="370"/>
      <c r="D71" s="370"/>
      <c r="E71" s="370"/>
    </row>
    <row r="72" spans="1:5" ht="38.25" customHeight="1" x14ac:dyDescent="0.3">
      <c r="A72" s="370" t="s">
        <v>1411</v>
      </c>
      <c r="B72" s="370"/>
      <c r="C72" s="370"/>
      <c r="D72" s="370"/>
      <c r="E72" s="370"/>
    </row>
    <row r="73" spans="1:5" ht="56.25" customHeight="1" x14ac:dyDescent="0.3">
      <c r="A73" s="355" t="s">
        <v>1412</v>
      </c>
      <c r="B73" s="355"/>
      <c r="C73" s="355"/>
      <c r="D73" s="355"/>
      <c r="E73" s="355"/>
    </row>
    <row r="74" spans="1:5" ht="38.25" customHeight="1" x14ac:dyDescent="0.3">
      <c r="A74" s="355" t="s">
        <v>1413</v>
      </c>
      <c r="B74" s="355"/>
      <c r="C74" s="355"/>
      <c r="D74" s="355"/>
      <c r="E74" s="355"/>
    </row>
    <row r="75" spans="1:5" ht="56.25" customHeight="1" x14ac:dyDescent="0.3">
      <c r="A75" s="355" t="s">
        <v>1414</v>
      </c>
      <c r="B75" s="355"/>
      <c r="C75" s="355"/>
      <c r="D75" s="355"/>
      <c r="E75" s="355"/>
    </row>
    <row r="76" spans="1:5" ht="19.5" customHeight="1" x14ac:dyDescent="0.3">
      <c r="A76" s="349" t="s">
        <v>1415</v>
      </c>
      <c r="B76" s="349"/>
      <c r="C76" s="349"/>
      <c r="D76" s="349"/>
      <c r="E76" s="349"/>
    </row>
    <row r="77" spans="1:5" ht="19.5" customHeight="1" x14ac:dyDescent="0.3">
      <c r="A77" s="349" t="s">
        <v>1416</v>
      </c>
      <c r="B77" s="349"/>
      <c r="C77" s="349"/>
      <c r="D77" s="349"/>
      <c r="E77" s="349"/>
    </row>
    <row r="78" spans="1:5" ht="19.5" customHeight="1" x14ac:dyDescent="0.3">
      <c r="A78" s="370" t="s">
        <v>1417</v>
      </c>
      <c r="B78" s="370"/>
      <c r="C78" s="370"/>
      <c r="D78" s="370"/>
      <c r="E78" s="370"/>
    </row>
    <row r="79" spans="1:5" ht="38.25" customHeight="1" x14ac:dyDescent="0.3">
      <c r="A79" s="371" t="s">
        <v>1418</v>
      </c>
      <c r="B79" s="371"/>
      <c r="C79" s="371"/>
      <c r="D79" s="371"/>
      <c r="E79" s="371"/>
    </row>
    <row r="80" spans="1:5" ht="17.25" customHeight="1" x14ac:dyDescent="0.3">
      <c r="A80" s="271" t="s">
        <v>1419</v>
      </c>
      <c r="B80" s="272" t="s">
        <v>1420</v>
      </c>
      <c r="C80" s="372" t="s">
        <v>1421</v>
      </c>
      <c r="D80" s="372"/>
      <c r="E80" s="372"/>
    </row>
    <row r="81" spans="1:5" ht="33" customHeight="1" x14ac:dyDescent="0.3">
      <c r="A81" s="45" t="s">
        <v>1422</v>
      </c>
      <c r="B81" s="46" t="s">
        <v>1423</v>
      </c>
      <c r="C81" s="373" t="s">
        <v>1424</v>
      </c>
      <c r="D81" s="373"/>
      <c r="E81" s="373"/>
    </row>
    <row r="82" spans="1:5" ht="33" customHeight="1" x14ac:dyDescent="0.3">
      <c r="A82" s="45" t="s">
        <v>1425</v>
      </c>
      <c r="B82" s="46" t="s">
        <v>1426</v>
      </c>
      <c r="C82" s="373" t="s">
        <v>1427</v>
      </c>
      <c r="D82" s="373"/>
      <c r="E82" s="373"/>
    </row>
    <row r="83" spans="1:5" ht="33" customHeight="1" x14ac:dyDescent="0.3">
      <c r="A83" s="45" t="s">
        <v>1428</v>
      </c>
      <c r="B83" s="46" t="s">
        <v>1429</v>
      </c>
      <c r="C83" s="373" t="s">
        <v>1430</v>
      </c>
      <c r="D83" s="373"/>
      <c r="E83" s="373"/>
    </row>
    <row r="84" spans="1:5" ht="33" customHeight="1" x14ac:dyDescent="0.3">
      <c r="A84" s="45" t="s">
        <v>1431</v>
      </c>
      <c r="B84" s="46" t="s">
        <v>1432</v>
      </c>
      <c r="C84" s="373" t="s">
        <v>1433</v>
      </c>
      <c r="D84" s="373"/>
      <c r="E84" s="373"/>
    </row>
    <row r="85" spans="1:5" ht="48.75" customHeight="1" x14ac:dyDescent="0.3">
      <c r="A85" s="45" t="s">
        <v>1434</v>
      </c>
      <c r="B85" s="46" t="s">
        <v>1435</v>
      </c>
      <c r="C85" s="373" t="s">
        <v>1436</v>
      </c>
      <c r="D85" s="373"/>
      <c r="E85" s="373"/>
    </row>
    <row r="86" spans="1:5" ht="38.25" customHeight="1" x14ac:dyDescent="0.3">
      <c r="A86" s="374" t="s">
        <v>1437</v>
      </c>
      <c r="B86" s="374"/>
      <c r="C86" s="374"/>
      <c r="D86" s="374"/>
      <c r="E86" s="374"/>
    </row>
    <row r="87" spans="1:5" ht="19.5" customHeight="1" x14ac:dyDescent="0.3">
      <c r="A87" s="349" t="s">
        <v>1438</v>
      </c>
      <c r="B87" s="349"/>
      <c r="C87" s="349"/>
      <c r="D87" s="349"/>
      <c r="E87" s="349"/>
    </row>
    <row r="88" spans="1:5" ht="19.5" customHeight="1" x14ac:dyDescent="0.3">
      <c r="A88" s="349" t="s">
        <v>1439</v>
      </c>
      <c r="B88" s="349"/>
      <c r="C88" s="349"/>
      <c r="D88" s="349"/>
      <c r="E88" s="349"/>
    </row>
    <row r="89" spans="1:5" ht="19.5" customHeight="1" x14ac:dyDescent="0.3">
      <c r="A89" s="370" t="s">
        <v>1440</v>
      </c>
      <c r="B89" s="370"/>
      <c r="C89" s="370"/>
      <c r="D89" s="370"/>
      <c r="E89" s="370"/>
    </row>
    <row r="90" spans="1:5" ht="56.25" customHeight="1" x14ac:dyDescent="0.3">
      <c r="A90" s="355" t="s">
        <v>1441</v>
      </c>
      <c r="B90" s="355"/>
      <c r="C90" s="355"/>
      <c r="D90" s="355"/>
      <c r="E90" s="355"/>
    </row>
    <row r="91" spans="1:5" ht="56.25" customHeight="1" x14ac:dyDescent="0.3">
      <c r="A91" s="355" t="s">
        <v>1442</v>
      </c>
      <c r="B91" s="355"/>
      <c r="C91" s="355"/>
      <c r="D91" s="355"/>
      <c r="E91" s="355"/>
    </row>
    <row r="92" spans="1:5" ht="56.25" customHeight="1" x14ac:dyDescent="0.3">
      <c r="A92" s="355" t="s">
        <v>1443</v>
      </c>
      <c r="B92" s="355"/>
      <c r="C92" s="355"/>
      <c r="D92" s="355"/>
      <c r="E92" s="355"/>
    </row>
    <row r="93" spans="1:5" ht="38.25" customHeight="1" x14ac:dyDescent="0.3">
      <c r="A93" s="355" t="s">
        <v>1444</v>
      </c>
      <c r="B93" s="355"/>
      <c r="C93" s="355"/>
      <c r="D93" s="355"/>
      <c r="E93" s="355"/>
    </row>
    <row r="94" spans="1:5" ht="19.5" customHeight="1" x14ac:dyDescent="0.3">
      <c r="A94" s="349" t="s">
        <v>1445</v>
      </c>
      <c r="B94" s="349"/>
      <c r="C94" s="349"/>
      <c r="D94" s="349"/>
      <c r="E94" s="349"/>
    </row>
    <row r="95" spans="1:5" ht="19.5" customHeight="1" x14ac:dyDescent="0.3">
      <c r="A95" s="349" t="s">
        <v>1446</v>
      </c>
      <c r="B95" s="349"/>
      <c r="C95" s="349"/>
      <c r="D95" s="349"/>
      <c r="E95" s="349"/>
    </row>
    <row r="96" spans="1:5" ht="19.5" customHeight="1" x14ac:dyDescent="0.3">
      <c r="A96" s="370" t="s">
        <v>1447</v>
      </c>
      <c r="B96" s="370"/>
      <c r="C96" s="370"/>
      <c r="D96" s="370"/>
      <c r="E96" s="370"/>
    </row>
    <row r="97" spans="1:5" ht="56.25" customHeight="1" x14ac:dyDescent="0.3">
      <c r="A97" s="355" t="s">
        <v>1448</v>
      </c>
      <c r="B97" s="355"/>
      <c r="C97" s="355"/>
      <c r="D97" s="355"/>
      <c r="E97" s="355"/>
    </row>
    <row r="98" spans="1:5" ht="74.25" customHeight="1" x14ac:dyDescent="0.3">
      <c r="A98" s="355" t="s">
        <v>1449</v>
      </c>
      <c r="B98" s="355"/>
      <c r="C98" s="355"/>
      <c r="D98" s="355"/>
      <c r="E98" s="355"/>
    </row>
    <row r="99" spans="1:5" ht="38.25" customHeight="1" x14ac:dyDescent="0.3">
      <c r="A99" s="355" t="s">
        <v>1450</v>
      </c>
      <c r="B99" s="355"/>
      <c r="C99" s="355"/>
      <c r="D99" s="355"/>
      <c r="E99" s="355"/>
    </row>
    <row r="100" spans="1:5" ht="56.25" customHeight="1" x14ac:dyDescent="0.3">
      <c r="A100" s="355" t="s">
        <v>1451</v>
      </c>
      <c r="B100" s="355"/>
      <c r="C100" s="355"/>
      <c r="D100" s="355"/>
      <c r="E100" s="355"/>
    </row>
    <row r="101" spans="1:5" ht="19.5" customHeight="1" x14ac:dyDescent="0.3">
      <c r="A101" s="370" t="s">
        <v>1452</v>
      </c>
      <c r="B101" s="370"/>
      <c r="C101" s="370"/>
      <c r="D101" s="370"/>
      <c r="E101" s="370"/>
    </row>
    <row r="102" spans="1:5" ht="110.25" customHeight="1" x14ac:dyDescent="0.3">
      <c r="A102" s="371" t="s">
        <v>1453</v>
      </c>
      <c r="B102" s="371"/>
      <c r="C102" s="371"/>
      <c r="D102" s="371"/>
      <c r="E102" s="371"/>
    </row>
    <row r="103" spans="1:5" ht="19.5" customHeight="1" x14ac:dyDescent="0.3">
      <c r="A103" s="349" t="s">
        <v>1454</v>
      </c>
      <c r="B103" s="349"/>
      <c r="C103" s="349"/>
      <c r="D103" s="349"/>
      <c r="E103" s="349"/>
    </row>
    <row r="104" spans="1:5" ht="19.5" customHeight="1" x14ac:dyDescent="0.3">
      <c r="A104" s="349" t="s">
        <v>1455</v>
      </c>
      <c r="B104" s="349"/>
      <c r="C104" s="349"/>
      <c r="D104" s="349"/>
      <c r="E104" s="349"/>
    </row>
    <row r="105" spans="1:5" ht="19.5" customHeight="1" x14ac:dyDescent="0.3">
      <c r="A105" s="370" t="s">
        <v>1456</v>
      </c>
      <c r="B105" s="370"/>
      <c r="C105" s="370"/>
      <c r="D105" s="370"/>
      <c r="E105" s="370"/>
    </row>
    <row r="106" spans="1:5" ht="19.5" customHeight="1" x14ac:dyDescent="0.3">
      <c r="A106" s="355" t="s">
        <v>1457</v>
      </c>
      <c r="B106" s="355"/>
      <c r="C106" s="355"/>
      <c r="D106" s="355"/>
      <c r="E106" s="355"/>
    </row>
    <row r="107" spans="1:5" ht="56.25" customHeight="1" x14ac:dyDescent="0.3">
      <c r="A107" s="355" t="s">
        <v>1458</v>
      </c>
      <c r="B107" s="355"/>
      <c r="C107" s="355"/>
      <c r="D107" s="355"/>
      <c r="E107" s="355"/>
    </row>
    <row r="108" spans="1:5" ht="38.25" customHeight="1" x14ac:dyDescent="0.3">
      <c r="A108" s="355" t="s">
        <v>1459</v>
      </c>
      <c r="B108" s="355"/>
      <c r="C108" s="355"/>
      <c r="D108" s="355"/>
      <c r="E108" s="355"/>
    </row>
    <row r="109" spans="1:5" ht="19.5" customHeight="1" x14ac:dyDescent="0.3">
      <c r="A109" s="355" t="s">
        <v>1460</v>
      </c>
      <c r="B109" s="355"/>
      <c r="C109" s="355"/>
      <c r="D109" s="355"/>
      <c r="E109" s="355"/>
    </row>
    <row r="110" spans="1:5" ht="38.25" customHeight="1" x14ac:dyDescent="0.3">
      <c r="A110" s="370" t="s">
        <v>1461</v>
      </c>
      <c r="B110" s="370"/>
      <c r="C110" s="370"/>
      <c r="D110" s="370"/>
      <c r="E110" s="370"/>
    </row>
    <row r="111" spans="1:5" ht="19.5" customHeight="1" x14ac:dyDescent="0.3">
      <c r="A111" s="370" t="s">
        <v>1462</v>
      </c>
      <c r="B111" s="370"/>
      <c r="C111" s="370"/>
      <c r="D111" s="370"/>
      <c r="E111" s="370"/>
    </row>
    <row r="112" spans="1:5" ht="19.5" customHeight="1" x14ac:dyDescent="0.3">
      <c r="A112" s="355" t="s">
        <v>1463</v>
      </c>
      <c r="B112" s="355"/>
      <c r="C112" s="355"/>
      <c r="D112" s="355"/>
      <c r="E112" s="355"/>
    </row>
    <row r="113" spans="1:5" ht="38.25" customHeight="1" x14ac:dyDescent="0.3">
      <c r="A113" s="355" t="s">
        <v>1464</v>
      </c>
      <c r="B113" s="355"/>
      <c r="C113" s="355"/>
      <c r="D113" s="355"/>
      <c r="E113" s="355"/>
    </row>
    <row r="114" spans="1:5" ht="38.25" customHeight="1" x14ac:dyDescent="0.3">
      <c r="A114" s="355" t="s">
        <v>1465</v>
      </c>
      <c r="B114" s="355"/>
      <c r="C114" s="355"/>
      <c r="D114" s="355"/>
      <c r="E114" s="355"/>
    </row>
    <row r="115" spans="1:5" ht="19.5" customHeight="1" x14ac:dyDescent="0.3">
      <c r="A115" s="370" t="s">
        <v>1466</v>
      </c>
      <c r="B115" s="370"/>
      <c r="C115" s="370"/>
      <c r="D115" s="370"/>
      <c r="E115" s="370"/>
    </row>
    <row r="116" spans="1:5" ht="38.25" customHeight="1" x14ac:dyDescent="0.3">
      <c r="A116" s="374" t="s">
        <v>1467</v>
      </c>
      <c r="B116" s="374"/>
      <c r="C116" s="374"/>
      <c r="D116" s="374"/>
      <c r="E116" s="374"/>
    </row>
    <row r="117" spans="1:5" ht="19.5" customHeight="1" x14ac:dyDescent="0.3">
      <c r="A117" s="349" t="s">
        <v>1468</v>
      </c>
      <c r="B117" s="349"/>
      <c r="C117" s="349"/>
      <c r="D117" s="349"/>
      <c r="E117" s="349"/>
    </row>
    <row r="118" spans="1:5" ht="19.5" customHeight="1" x14ac:dyDescent="0.3">
      <c r="A118" s="349" t="s">
        <v>1469</v>
      </c>
      <c r="B118" s="349"/>
      <c r="C118" s="349"/>
      <c r="D118" s="349"/>
      <c r="E118" s="349"/>
    </row>
    <row r="119" spans="1:5" ht="19.5" customHeight="1" x14ac:dyDescent="0.3">
      <c r="A119" s="370" t="s">
        <v>1470</v>
      </c>
      <c r="B119" s="370"/>
      <c r="C119" s="370"/>
      <c r="D119" s="370"/>
      <c r="E119" s="370"/>
    </row>
    <row r="120" spans="1:5" ht="38.25" customHeight="1" x14ac:dyDescent="0.3">
      <c r="A120" s="355" t="s">
        <v>1471</v>
      </c>
      <c r="B120" s="355"/>
      <c r="C120" s="355"/>
      <c r="D120" s="355"/>
      <c r="E120" s="355"/>
    </row>
    <row r="121" spans="1:5" ht="74.25" customHeight="1" x14ac:dyDescent="0.3">
      <c r="A121" s="355" t="s">
        <v>1472</v>
      </c>
      <c r="B121" s="355"/>
      <c r="C121" s="355"/>
      <c r="D121" s="355"/>
      <c r="E121" s="355"/>
    </row>
    <row r="122" spans="1:5" ht="38.25" customHeight="1" x14ac:dyDescent="0.3">
      <c r="A122" s="355" t="s">
        <v>1473</v>
      </c>
      <c r="B122" s="355"/>
      <c r="C122" s="355"/>
      <c r="D122" s="355"/>
      <c r="E122" s="355"/>
    </row>
    <row r="123" spans="1:5" ht="19.5" customHeight="1" x14ac:dyDescent="0.3">
      <c r="A123" s="370" t="s">
        <v>1474</v>
      </c>
      <c r="B123" s="370"/>
      <c r="C123" s="370"/>
      <c r="D123" s="370"/>
      <c r="E123" s="370"/>
    </row>
    <row r="124" spans="1:5" ht="74.25" customHeight="1" x14ac:dyDescent="0.3">
      <c r="A124" s="371" t="s">
        <v>1475</v>
      </c>
      <c r="B124" s="371"/>
      <c r="C124" s="371"/>
      <c r="D124" s="371"/>
      <c r="E124" s="371"/>
    </row>
    <row r="125" spans="1:5" ht="19.5" customHeight="1" x14ac:dyDescent="0.3">
      <c r="A125" s="349" t="s">
        <v>1476</v>
      </c>
      <c r="B125" s="349"/>
      <c r="C125" s="349"/>
      <c r="D125" s="349"/>
      <c r="E125" s="349"/>
    </row>
    <row r="126" spans="1:5" ht="19.5" customHeight="1" x14ac:dyDescent="0.3">
      <c r="A126" s="349" t="s">
        <v>1477</v>
      </c>
      <c r="B126" s="349"/>
      <c r="C126" s="349"/>
      <c r="D126" s="349"/>
      <c r="E126" s="349"/>
    </row>
    <row r="127" spans="1:5" ht="19.5" customHeight="1" x14ac:dyDescent="0.3">
      <c r="A127" s="370" t="s">
        <v>1478</v>
      </c>
      <c r="B127" s="370"/>
      <c r="C127" s="370"/>
      <c r="D127" s="370"/>
      <c r="E127" s="370"/>
    </row>
    <row r="128" spans="1:5" ht="56.25" customHeight="1" x14ac:dyDescent="0.3">
      <c r="A128" s="371" t="s">
        <v>1479</v>
      </c>
      <c r="B128" s="371"/>
      <c r="C128" s="371"/>
      <c r="D128" s="371"/>
      <c r="E128" s="371"/>
    </row>
    <row r="129" spans="1:5" ht="19.5" customHeight="1" x14ac:dyDescent="0.3">
      <c r="A129" s="370" t="s">
        <v>1480</v>
      </c>
      <c r="B129" s="370"/>
      <c r="C129" s="370"/>
      <c r="D129" s="370"/>
      <c r="E129" s="370"/>
    </row>
    <row r="130" spans="1:5" ht="74.25" customHeight="1" x14ac:dyDescent="0.3">
      <c r="A130" s="355" t="s">
        <v>1481</v>
      </c>
      <c r="B130" s="355"/>
      <c r="C130" s="355"/>
      <c r="D130" s="355"/>
      <c r="E130" s="355"/>
    </row>
    <row r="131" spans="1:5" ht="56.25" customHeight="1" x14ac:dyDescent="0.3">
      <c r="A131" s="355" t="s">
        <v>1482</v>
      </c>
      <c r="B131" s="355"/>
      <c r="C131" s="355"/>
      <c r="D131" s="355"/>
      <c r="E131" s="355"/>
    </row>
    <row r="132" spans="1:5" ht="7.5" customHeight="1" x14ac:dyDescent="0.3">
      <c r="A132" s="273"/>
    </row>
    <row r="133" spans="1:5" ht="18" customHeight="1" x14ac:dyDescent="0.3">
      <c r="A133" s="274"/>
      <c r="C133" s="366" t="s">
        <v>195</v>
      </c>
      <c r="D133" s="366"/>
      <c r="E133" s="366"/>
    </row>
    <row r="134" spans="1:5" ht="18" customHeight="1" x14ac:dyDescent="0.3">
      <c r="A134" s="275"/>
      <c r="C134" s="368" t="s">
        <v>1483</v>
      </c>
      <c r="D134" s="368"/>
      <c r="E134" s="368"/>
    </row>
    <row r="135" spans="1:5" ht="409.5" customHeight="1" x14ac:dyDescent="0.3"/>
    <row r="136" spans="1:5" ht="16.5" customHeight="1" x14ac:dyDescent="0.3"/>
    <row r="137" spans="1:5" ht="409.5" customHeight="1" x14ac:dyDescent="0.3"/>
    <row r="138" spans="1:5" ht="409.5" customHeight="1" x14ac:dyDescent="0.3"/>
    <row r="139" spans="1:5" ht="409.5" customHeight="1" x14ac:dyDescent="0.3"/>
    <row r="140" spans="1:5" ht="14.25" customHeight="1" x14ac:dyDescent="0.3"/>
    <row r="141" spans="1:5" ht="16.5" customHeight="1" x14ac:dyDescent="0.3"/>
    <row r="142" spans="1:5" ht="14.25" customHeight="1" x14ac:dyDescent="0.3"/>
  </sheetData>
  <mergeCells count="136">
    <mergeCell ref="C134:E134"/>
    <mergeCell ref="A124:E124"/>
    <mergeCell ref="A125:E125"/>
    <mergeCell ref="A126:E126"/>
    <mergeCell ref="A127:E127"/>
    <mergeCell ref="A128:E128"/>
    <mergeCell ref="A129:E129"/>
    <mergeCell ref="A130:E130"/>
    <mergeCell ref="A131:E131"/>
    <mergeCell ref="C133:E133"/>
    <mergeCell ref="A115:E115"/>
    <mergeCell ref="A116:E116"/>
    <mergeCell ref="A117:E117"/>
    <mergeCell ref="A118:E118"/>
    <mergeCell ref="A119:E119"/>
    <mergeCell ref="A120:E120"/>
    <mergeCell ref="A121:E121"/>
    <mergeCell ref="A122:E122"/>
    <mergeCell ref="A123:E123"/>
    <mergeCell ref="A106:E106"/>
    <mergeCell ref="A107:E107"/>
    <mergeCell ref="A108:E108"/>
    <mergeCell ref="A109:E109"/>
    <mergeCell ref="A110:E110"/>
    <mergeCell ref="A111:E111"/>
    <mergeCell ref="A112:E112"/>
    <mergeCell ref="A113:E113"/>
    <mergeCell ref="A114:E114"/>
    <mergeCell ref="A97:E97"/>
    <mergeCell ref="A98:E98"/>
    <mergeCell ref="A99:E99"/>
    <mergeCell ref="A100:E100"/>
    <mergeCell ref="A101:E101"/>
    <mergeCell ref="A102:E102"/>
    <mergeCell ref="A103:E103"/>
    <mergeCell ref="A104:E104"/>
    <mergeCell ref="A105:E105"/>
    <mergeCell ref="A88:E88"/>
    <mergeCell ref="A89:E89"/>
    <mergeCell ref="A90:E90"/>
    <mergeCell ref="A91:E91"/>
    <mergeCell ref="A92:E92"/>
    <mergeCell ref="A93:E93"/>
    <mergeCell ref="A94:E94"/>
    <mergeCell ref="A95:E95"/>
    <mergeCell ref="A96:E96"/>
    <mergeCell ref="A79:E79"/>
    <mergeCell ref="C80:E80"/>
    <mergeCell ref="C81:E81"/>
    <mergeCell ref="C82:E82"/>
    <mergeCell ref="C83:E83"/>
    <mergeCell ref="C84:E84"/>
    <mergeCell ref="C85:E85"/>
    <mergeCell ref="A86:E86"/>
    <mergeCell ref="A87:E87"/>
    <mergeCell ref="A70:E70"/>
    <mergeCell ref="A71:E71"/>
    <mergeCell ref="A72:E72"/>
    <mergeCell ref="A73:E73"/>
    <mergeCell ref="A74:E74"/>
    <mergeCell ref="A75:E75"/>
    <mergeCell ref="A76:E76"/>
    <mergeCell ref="A77:E77"/>
    <mergeCell ref="A78:E78"/>
    <mergeCell ref="A61:E61"/>
    <mergeCell ref="B62:E62"/>
    <mergeCell ref="B63:E63"/>
    <mergeCell ref="B64:E64"/>
    <mergeCell ref="B65:E65"/>
    <mergeCell ref="A66:E66"/>
    <mergeCell ref="B67:E67"/>
    <mergeCell ref="B68:E68"/>
    <mergeCell ref="B69:E69"/>
    <mergeCell ref="A52:E52"/>
    <mergeCell ref="A53:E53"/>
    <mergeCell ref="A54:E54"/>
    <mergeCell ref="A55:E55"/>
    <mergeCell ref="A56:E56"/>
    <mergeCell ref="B57:E57"/>
    <mergeCell ref="B58:E58"/>
    <mergeCell ref="B59:E59"/>
    <mergeCell ref="B60:E60"/>
    <mergeCell ref="D43:E43"/>
    <mergeCell ref="A44:E44"/>
    <mergeCell ref="A45:E45"/>
    <mergeCell ref="C46:E46"/>
    <mergeCell ref="C47:E47"/>
    <mergeCell ref="C48:E48"/>
    <mergeCell ref="C49:E49"/>
    <mergeCell ref="A50:E50"/>
    <mergeCell ref="A51:E51"/>
    <mergeCell ref="D34:E34"/>
    <mergeCell ref="D35:E35"/>
    <mergeCell ref="D36:E36"/>
    <mergeCell ref="D37:E37"/>
    <mergeCell ref="A38:E38"/>
    <mergeCell ref="A39:E39"/>
    <mergeCell ref="D40:E40"/>
    <mergeCell ref="D41:E41"/>
    <mergeCell ref="D42:E42"/>
    <mergeCell ref="C25:E25"/>
    <mergeCell ref="C26:E26"/>
    <mergeCell ref="C27:E27"/>
    <mergeCell ref="C28:E28"/>
    <mergeCell ref="A29:E29"/>
    <mergeCell ref="A30:E30"/>
    <mergeCell ref="A31:E31"/>
    <mergeCell ref="A32:E32"/>
    <mergeCell ref="D33:E33"/>
    <mergeCell ref="A16:E16"/>
    <mergeCell ref="A17:E17"/>
    <mergeCell ref="A18:E18"/>
    <mergeCell ref="A19:E19"/>
    <mergeCell ref="A20:E20"/>
    <mergeCell ref="A21:E21"/>
    <mergeCell ref="A22:E22"/>
    <mergeCell ref="A23:E23"/>
    <mergeCell ref="C24:E24"/>
    <mergeCell ref="A7:E7"/>
    <mergeCell ref="A8:E8"/>
    <mergeCell ref="A9:E9"/>
    <mergeCell ref="A10:E10"/>
    <mergeCell ref="A11:E11"/>
    <mergeCell ref="A12:E12"/>
    <mergeCell ref="A13:E13"/>
    <mergeCell ref="A14:E14"/>
    <mergeCell ref="A15:E15"/>
    <mergeCell ref="A1:B1"/>
    <mergeCell ref="C1:E1"/>
    <mergeCell ref="A2:B2"/>
    <mergeCell ref="C2:E2"/>
    <mergeCell ref="A3:B3"/>
    <mergeCell ref="C3:E3"/>
    <mergeCell ref="C4:E4"/>
    <mergeCell ref="A5:E5"/>
    <mergeCell ref="A6:E6"/>
  </mergeCells>
  <pageMargins left="0.5" right="0.5" top="0.5" bottom="0.55000000000000004" header="0.511811023622047" footer="0.25"/>
  <pageSetup paperSize="9" fitToHeight="0" orientation="portrait" horizontalDpi="300" verticalDpi="300"/>
  <headerFooter>
    <oddFooter>&amp;C&amp;"Times New Roman,Italic"&amp;9 Trang &amp;P/&amp;N</oddFooter>
  </headerFooter>
  <rowBreaks count="6" manualBreakCount="6">
    <brk id="21" max="16383" man="1"/>
    <brk id="38" max="16383" man="1"/>
    <brk id="60" max="16383" man="1"/>
    <brk id="77" max="16383" man="1"/>
    <brk id="97" max="16383" man="1"/>
    <brk id="116"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pageSetUpPr fitToPage="1"/>
  </sheetPr>
  <dimension ref="A1:E142"/>
  <sheetViews>
    <sheetView showGridLines="0" zoomScaleNormal="100" workbookViewId="0">
      <selection activeCell="A8" sqref="A8:E8"/>
    </sheetView>
  </sheetViews>
  <sheetFormatPr defaultColWidth="8.6640625" defaultRowHeight="14.4" x14ac:dyDescent="0.3"/>
  <cols>
    <col min="1" max="1" width="27" customWidth="1"/>
    <col min="2" max="2" width="19" customWidth="1"/>
    <col min="3" max="3" width="17" customWidth="1"/>
    <col min="4" max="4" width="18" customWidth="1"/>
    <col min="5" max="5" width="17" customWidth="1"/>
    <col min="6" max="19" width="2" customWidth="1"/>
  </cols>
  <sheetData>
    <row r="1" spans="1:5" ht="18" customHeight="1" x14ac:dyDescent="0.3">
      <c r="A1" s="366" t="s">
        <v>2016</v>
      </c>
      <c r="B1" s="366"/>
      <c r="C1" s="366" t="s">
        <v>244</v>
      </c>
      <c r="D1" s="366"/>
      <c r="E1" s="366"/>
    </row>
    <row r="2" spans="1:5" ht="18" customHeight="1" x14ac:dyDescent="0.3">
      <c r="A2" s="367" t="s">
        <v>1304</v>
      </c>
      <c r="B2" s="367"/>
      <c r="C2" s="366" t="s">
        <v>246</v>
      </c>
      <c r="D2" s="366"/>
      <c r="E2" s="366"/>
    </row>
    <row r="3" spans="1:5" ht="18" customHeight="1" x14ac:dyDescent="0.3">
      <c r="A3" s="367" t="s">
        <v>1305</v>
      </c>
      <c r="B3" s="367"/>
      <c r="C3" s="367" t="s">
        <v>1305</v>
      </c>
      <c r="D3" s="367"/>
      <c r="E3" s="367"/>
    </row>
    <row r="4" spans="1:5" ht="18" customHeight="1" x14ac:dyDescent="0.3">
      <c r="A4" s="270"/>
      <c r="C4" s="368" t="s">
        <v>1306</v>
      </c>
      <c r="D4" s="368"/>
      <c r="E4" s="368"/>
    </row>
    <row r="5" spans="1:5" ht="22.5" customHeight="1" x14ac:dyDescent="0.3">
      <c r="A5" s="369" t="s">
        <v>1307</v>
      </c>
      <c r="B5" s="369"/>
      <c r="C5" s="369"/>
      <c r="D5" s="369"/>
      <c r="E5" s="369"/>
    </row>
    <row r="6" spans="1:5" ht="18.75" customHeight="1" x14ac:dyDescent="0.3">
      <c r="A6" s="368" t="s">
        <v>1484</v>
      </c>
      <c r="B6" s="368"/>
      <c r="C6" s="368"/>
      <c r="D6" s="368"/>
      <c r="E6" s="368"/>
    </row>
    <row r="7" spans="1:5" ht="35.25" customHeight="1" x14ac:dyDescent="0.3">
      <c r="A7" s="368" t="s">
        <v>1309</v>
      </c>
      <c r="B7" s="368"/>
      <c r="C7" s="368"/>
      <c r="D7" s="368"/>
      <c r="E7" s="368"/>
    </row>
    <row r="8" spans="1:5" ht="19.5" customHeight="1" x14ac:dyDescent="0.3">
      <c r="A8" s="349" t="s">
        <v>1310</v>
      </c>
      <c r="B8" s="349"/>
      <c r="C8" s="349"/>
      <c r="D8" s="349"/>
      <c r="E8" s="349"/>
    </row>
    <row r="9" spans="1:5" ht="19.5" customHeight="1" x14ac:dyDescent="0.3">
      <c r="A9" s="349" t="s">
        <v>1311</v>
      </c>
      <c r="B9" s="349"/>
      <c r="C9" s="349"/>
      <c r="D9" s="349"/>
      <c r="E9" s="349"/>
    </row>
    <row r="10" spans="1:5" ht="19.5" customHeight="1" x14ac:dyDescent="0.3">
      <c r="A10" s="370" t="s">
        <v>1312</v>
      </c>
      <c r="B10" s="370"/>
      <c r="C10" s="370"/>
      <c r="D10" s="370"/>
      <c r="E10" s="370"/>
    </row>
    <row r="11" spans="1:5" ht="56.25" customHeight="1" x14ac:dyDescent="0.3">
      <c r="A11" s="371" t="s">
        <v>1485</v>
      </c>
      <c r="B11" s="371"/>
      <c r="C11" s="371"/>
      <c r="D11" s="371"/>
      <c r="E11" s="371"/>
    </row>
    <row r="12" spans="1:5" ht="38.25" customHeight="1" x14ac:dyDescent="0.3">
      <c r="A12" s="355" t="s">
        <v>1314</v>
      </c>
      <c r="B12" s="355"/>
      <c r="C12" s="355"/>
      <c r="D12" s="355"/>
      <c r="E12" s="355"/>
    </row>
    <row r="13" spans="1:5" ht="56.25" customHeight="1" x14ac:dyDescent="0.3">
      <c r="A13" s="355" t="s">
        <v>1486</v>
      </c>
      <c r="B13" s="355"/>
      <c r="C13" s="355"/>
      <c r="D13" s="355"/>
      <c r="E13" s="355"/>
    </row>
    <row r="14" spans="1:5" ht="38.25" customHeight="1" x14ac:dyDescent="0.3">
      <c r="A14" s="355" t="s">
        <v>1316</v>
      </c>
      <c r="B14" s="355"/>
      <c r="C14" s="355"/>
      <c r="D14" s="355"/>
      <c r="E14" s="355"/>
    </row>
    <row r="15" spans="1:5" ht="19.5" customHeight="1" x14ac:dyDescent="0.3">
      <c r="A15" s="370" t="s">
        <v>1317</v>
      </c>
      <c r="B15" s="370"/>
      <c r="C15" s="370"/>
      <c r="D15" s="370"/>
      <c r="E15" s="370"/>
    </row>
    <row r="16" spans="1:5" ht="74.25" customHeight="1" x14ac:dyDescent="0.3">
      <c r="A16" s="371" t="s">
        <v>1487</v>
      </c>
      <c r="B16" s="371"/>
      <c r="C16" s="371"/>
      <c r="D16" s="371"/>
      <c r="E16" s="371"/>
    </row>
    <row r="17" spans="1:5" ht="92.25" customHeight="1" x14ac:dyDescent="0.3">
      <c r="A17" s="374" t="s">
        <v>1488</v>
      </c>
      <c r="B17" s="374"/>
      <c r="C17" s="374"/>
      <c r="D17" s="374"/>
      <c r="E17" s="374"/>
    </row>
    <row r="18" spans="1:5" ht="19.5" customHeight="1" x14ac:dyDescent="0.3">
      <c r="A18" s="370" t="s">
        <v>1319</v>
      </c>
      <c r="B18" s="370"/>
      <c r="C18" s="370"/>
      <c r="D18" s="370"/>
      <c r="E18" s="370"/>
    </row>
    <row r="19" spans="1:5" ht="74.25" customHeight="1" x14ac:dyDescent="0.3">
      <c r="A19" s="355" t="s">
        <v>1489</v>
      </c>
      <c r="B19" s="355"/>
      <c r="C19" s="355"/>
      <c r="D19" s="355"/>
      <c r="E19" s="355"/>
    </row>
    <row r="20" spans="1:5" ht="74.25" customHeight="1" x14ac:dyDescent="0.3">
      <c r="A20" s="355" t="s">
        <v>1321</v>
      </c>
      <c r="B20" s="355"/>
      <c r="C20" s="355"/>
      <c r="D20" s="355"/>
      <c r="E20" s="355"/>
    </row>
    <row r="21" spans="1:5" ht="38.25" customHeight="1" x14ac:dyDescent="0.3">
      <c r="A21" s="355" t="s">
        <v>1322</v>
      </c>
      <c r="B21" s="355"/>
      <c r="C21" s="355"/>
      <c r="D21" s="355"/>
      <c r="E21" s="355"/>
    </row>
    <row r="22" spans="1:5" ht="38.25" customHeight="1" x14ac:dyDescent="0.3">
      <c r="A22" s="355" t="s">
        <v>1490</v>
      </c>
      <c r="B22" s="355"/>
      <c r="C22" s="355"/>
      <c r="D22" s="355"/>
      <c r="E22" s="355"/>
    </row>
    <row r="23" spans="1:5" ht="19.5" customHeight="1" x14ac:dyDescent="0.3">
      <c r="A23" s="370" t="s">
        <v>1324</v>
      </c>
      <c r="B23" s="370"/>
      <c r="C23" s="370"/>
      <c r="D23" s="370"/>
      <c r="E23" s="370"/>
    </row>
    <row r="24" spans="1:5" ht="56.25" customHeight="1" x14ac:dyDescent="0.3">
      <c r="A24" s="371" t="s">
        <v>1325</v>
      </c>
      <c r="B24" s="371"/>
      <c r="C24" s="371"/>
      <c r="D24" s="371"/>
      <c r="E24" s="371"/>
    </row>
    <row r="25" spans="1:5" ht="33" customHeight="1" x14ac:dyDescent="0.3">
      <c r="A25" s="271" t="s">
        <v>1326</v>
      </c>
      <c r="B25" s="272" t="s">
        <v>1327</v>
      </c>
      <c r="C25" s="372" t="s">
        <v>1328</v>
      </c>
      <c r="D25" s="372"/>
      <c r="E25" s="372"/>
    </row>
    <row r="26" spans="1:5" ht="17.25" customHeight="1" x14ac:dyDescent="0.3">
      <c r="A26" s="45" t="s">
        <v>1329</v>
      </c>
      <c r="B26" s="46" t="s">
        <v>1330</v>
      </c>
      <c r="C26" s="373" t="s">
        <v>1331</v>
      </c>
      <c r="D26" s="373"/>
      <c r="E26" s="373"/>
    </row>
    <row r="27" spans="1:5" ht="17.25" customHeight="1" x14ac:dyDescent="0.3">
      <c r="A27" s="45" t="s">
        <v>1332</v>
      </c>
      <c r="B27" s="46" t="s">
        <v>1333</v>
      </c>
      <c r="C27" s="373" t="s">
        <v>1334</v>
      </c>
      <c r="D27" s="373"/>
      <c r="E27" s="373"/>
    </row>
    <row r="28" spans="1:5" ht="17.25" customHeight="1" x14ac:dyDescent="0.3">
      <c r="A28" s="45" t="s">
        <v>1335</v>
      </c>
      <c r="B28" s="46" t="s">
        <v>1336</v>
      </c>
      <c r="C28" s="373" t="s">
        <v>1337</v>
      </c>
      <c r="D28" s="373"/>
      <c r="E28" s="373"/>
    </row>
    <row r="29" spans="1:5" ht="17.25" customHeight="1" x14ac:dyDescent="0.3">
      <c r="A29" s="45" t="s">
        <v>1338</v>
      </c>
      <c r="B29" s="46" t="s">
        <v>1339</v>
      </c>
      <c r="C29" s="373" t="s">
        <v>1340</v>
      </c>
      <c r="D29" s="373"/>
      <c r="E29" s="373"/>
    </row>
    <row r="30" spans="1:5" ht="92.25" customHeight="1" x14ac:dyDescent="0.3">
      <c r="A30" s="374" t="s">
        <v>1341</v>
      </c>
      <c r="B30" s="374"/>
      <c r="C30" s="374"/>
      <c r="D30" s="374"/>
      <c r="E30" s="374"/>
    </row>
    <row r="31" spans="1:5" ht="19.5" customHeight="1" x14ac:dyDescent="0.3">
      <c r="A31" s="349" t="s">
        <v>1342</v>
      </c>
      <c r="B31" s="349"/>
      <c r="C31" s="349"/>
      <c r="D31" s="349"/>
      <c r="E31" s="349"/>
    </row>
    <row r="32" spans="1:5" ht="19.5" customHeight="1" x14ac:dyDescent="0.3">
      <c r="A32" s="349" t="s">
        <v>1343</v>
      </c>
      <c r="B32" s="349"/>
      <c r="C32" s="349"/>
      <c r="D32" s="349"/>
      <c r="E32" s="349"/>
    </row>
    <row r="33" spans="1:5" ht="19.5" customHeight="1" x14ac:dyDescent="0.3">
      <c r="A33" s="370" t="s">
        <v>1491</v>
      </c>
      <c r="B33" s="370"/>
      <c r="C33" s="370"/>
      <c r="D33" s="370"/>
      <c r="E33" s="370"/>
    </row>
    <row r="34" spans="1:5" ht="17.25" customHeight="1" x14ac:dyDescent="0.3">
      <c r="A34" s="271" t="s">
        <v>1492</v>
      </c>
      <c r="B34" s="272" t="s">
        <v>1493</v>
      </c>
      <c r="C34" s="272" t="s">
        <v>1494</v>
      </c>
      <c r="D34" s="272" t="s">
        <v>1495</v>
      </c>
      <c r="E34" s="272" t="s">
        <v>1496</v>
      </c>
    </row>
    <row r="35" spans="1:5" ht="17.25" customHeight="1" x14ac:dyDescent="0.3">
      <c r="A35" s="271"/>
      <c r="B35" s="272" t="s">
        <v>1497</v>
      </c>
      <c r="C35" s="272" t="s">
        <v>1498</v>
      </c>
      <c r="D35" s="272" t="s">
        <v>1499</v>
      </c>
      <c r="E35" s="272" t="s">
        <v>1500</v>
      </c>
    </row>
    <row r="36" spans="1:5" ht="17.25" customHeight="1" x14ac:dyDescent="0.3">
      <c r="A36" s="45" t="s">
        <v>1501</v>
      </c>
      <c r="B36" s="46" t="s">
        <v>1351</v>
      </c>
      <c r="C36" s="46" t="s">
        <v>1354</v>
      </c>
      <c r="D36" s="46" t="s">
        <v>1357</v>
      </c>
      <c r="E36" s="46" t="s">
        <v>1360</v>
      </c>
    </row>
    <row r="37" spans="1:5" ht="17.25" customHeight="1" x14ac:dyDescent="0.3">
      <c r="A37" s="45" t="s">
        <v>1502</v>
      </c>
      <c r="B37" s="46" t="s">
        <v>1370</v>
      </c>
      <c r="C37" s="46" t="s">
        <v>1503</v>
      </c>
      <c r="D37" s="46" t="s">
        <v>1504</v>
      </c>
      <c r="E37" s="46" t="s">
        <v>1505</v>
      </c>
    </row>
    <row r="38" spans="1:5" ht="33" customHeight="1" x14ac:dyDescent="0.3">
      <c r="A38" s="45" t="s">
        <v>1506</v>
      </c>
      <c r="B38" s="46" t="s">
        <v>1507</v>
      </c>
      <c r="C38" s="46" t="s">
        <v>1508</v>
      </c>
      <c r="D38" s="46" t="s">
        <v>1509</v>
      </c>
      <c r="E38" s="46" t="s">
        <v>1510</v>
      </c>
    </row>
    <row r="39" spans="1:5" ht="74.25" customHeight="1" x14ac:dyDescent="0.3">
      <c r="A39" s="374" t="s">
        <v>1511</v>
      </c>
      <c r="B39" s="374"/>
      <c r="C39" s="374"/>
      <c r="D39" s="374"/>
      <c r="E39" s="374"/>
    </row>
    <row r="40" spans="1:5" ht="19.5" customHeight="1" x14ac:dyDescent="0.3">
      <c r="A40" s="370" t="s">
        <v>1362</v>
      </c>
      <c r="B40" s="370"/>
      <c r="C40" s="370"/>
      <c r="D40" s="370"/>
      <c r="E40" s="370"/>
    </row>
    <row r="41" spans="1:5" ht="17.25" customHeight="1" x14ac:dyDescent="0.3">
      <c r="A41" s="271" t="s">
        <v>1363</v>
      </c>
      <c r="B41" s="272" t="s">
        <v>1493</v>
      </c>
      <c r="C41" s="272" t="s">
        <v>1494</v>
      </c>
      <c r="D41" s="372" t="s">
        <v>1495</v>
      </c>
      <c r="E41" s="372"/>
    </row>
    <row r="42" spans="1:5" ht="17.25" customHeight="1" x14ac:dyDescent="0.3">
      <c r="A42" s="271"/>
      <c r="B42" s="272" t="s">
        <v>1512</v>
      </c>
      <c r="C42" s="272" t="s">
        <v>1498</v>
      </c>
      <c r="D42" s="372" t="s">
        <v>1513</v>
      </c>
      <c r="E42" s="372"/>
    </row>
    <row r="43" spans="1:5" ht="17.25" customHeight="1" x14ac:dyDescent="0.3">
      <c r="A43" s="45" t="s">
        <v>1367</v>
      </c>
      <c r="B43" s="46" t="s">
        <v>1368</v>
      </c>
      <c r="C43" s="46" t="s">
        <v>1369</v>
      </c>
      <c r="D43" s="373" t="s">
        <v>1370</v>
      </c>
      <c r="E43" s="373"/>
    </row>
    <row r="44" spans="1:5" ht="33" customHeight="1" x14ac:dyDescent="0.3">
      <c r="A44" s="45" t="s">
        <v>1371</v>
      </c>
      <c r="B44" s="46" t="s">
        <v>1369</v>
      </c>
      <c r="C44" s="46" t="s">
        <v>1370</v>
      </c>
      <c r="D44" s="373" t="s">
        <v>1372</v>
      </c>
      <c r="E44" s="373"/>
    </row>
    <row r="45" spans="1:5" ht="17.25" customHeight="1" x14ac:dyDescent="0.3">
      <c r="A45" s="45" t="s">
        <v>1373</v>
      </c>
      <c r="B45" s="46" t="s">
        <v>1370</v>
      </c>
      <c r="C45" s="46" t="s">
        <v>1372</v>
      </c>
      <c r="D45" s="373" t="s">
        <v>1374</v>
      </c>
      <c r="E45" s="373"/>
    </row>
    <row r="46" spans="1:5" ht="38.25" customHeight="1" x14ac:dyDescent="0.3">
      <c r="A46" s="374" t="s">
        <v>1375</v>
      </c>
      <c r="B46" s="374"/>
      <c r="C46" s="374"/>
      <c r="D46" s="374"/>
      <c r="E46" s="374"/>
    </row>
    <row r="47" spans="1:5" ht="19.5" customHeight="1" x14ac:dyDescent="0.3">
      <c r="A47" s="370" t="s">
        <v>1376</v>
      </c>
      <c r="B47" s="370"/>
      <c r="C47" s="370"/>
      <c r="D47" s="370"/>
      <c r="E47" s="370"/>
    </row>
    <row r="48" spans="1:5" ht="33" customHeight="1" x14ac:dyDescent="0.3">
      <c r="A48" s="271" t="s">
        <v>1345</v>
      </c>
      <c r="B48" s="272" t="s">
        <v>1346</v>
      </c>
      <c r="C48" s="372" t="s">
        <v>1348</v>
      </c>
      <c r="D48" s="372"/>
      <c r="E48" s="372"/>
    </row>
    <row r="49" spans="1:5" ht="33" customHeight="1" x14ac:dyDescent="0.3">
      <c r="A49" s="45">
        <v>1</v>
      </c>
      <c r="B49" s="46" t="s">
        <v>1377</v>
      </c>
      <c r="C49" s="373" t="s">
        <v>1378</v>
      </c>
      <c r="D49" s="373"/>
      <c r="E49" s="373"/>
    </row>
    <row r="50" spans="1:5" ht="33" customHeight="1" x14ac:dyDescent="0.3">
      <c r="A50" s="45">
        <v>2</v>
      </c>
      <c r="B50" s="46" t="s">
        <v>1379</v>
      </c>
      <c r="C50" s="373" t="s">
        <v>1380</v>
      </c>
      <c r="D50" s="373"/>
      <c r="E50" s="373"/>
    </row>
    <row r="51" spans="1:5" ht="17.25" customHeight="1" x14ac:dyDescent="0.3">
      <c r="A51" s="45">
        <v>3</v>
      </c>
      <c r="B51" s="46" t="s">
        <v>1381</v>
      </c>
      <c r="C51" s="373" t="s">
        <v>1382</v>
      </c>
      <c r="D51" s="373"/>
      <c r="E51" s="373"/>
    </row>
    <row r="52" spans="1:5" ht="19.5" customHeight="1" x14ac:dyDescent="0.3">
      <c r="A52" s="349" t="s">
        <v>1383</v>
      </c>
      <c r="B52" s="349"/>
      <c r="C52" s="349"/>
      <c r="D52" s="349"/>
      <c r="E52" s="349"/>
    </row>
    <row r="53" spans="1:5" ht="19.5" customHeight="1" x14ac:dyDescent="0.3">
      <c r="A53" s="349" t="s">
        <v>1514</v>
      </c>
      <c r="B53" s="349"/>
      <c r="C53" s="349"/>
      <c r="D53" s="349"/>
      <c r="E53" s="349"/>
    </row>
    <row r="54" spans="1:5" ht="19.5" customHeight="1" x14ac:dyDescent="0.3">
      <c r="A54" s="370" t="s">
        <v>1515</v>
      </c>
      <c r="B54" s="370"/>
      <c r="C54" s="370"/>
      <c r="D54" s="370"/>
      <c r="E54" s="370"/>
    </row>
    <row r="55" spans="1:5" ht="92.25" customHeight="1" x14ac:dyDescent="0.3">
      <c r="A55" s="371" t="s">
        <v>1516</v>
      </c>
      <c r="B55" s="371"/>
      <c r="C55" s="371"/>
      <c r="D55" s="371"/>
      <c r="E55" s="371"/>
    </row>
    <row r="56" spans="1:5" ht="19.5" customHeight="1" x14ac:dyDescent="0.3">
      <c r="A56" s="370" t="s">
        <v>1517</v>
      </c>
      <c r="B56" s="370"/>
      <c r="C56" s="370"/>
      <c r="D56" s="370"/>
      <c r="E56" s="370"/>
    </row>
    <row r="57" spans="1:5" ht="38.25" customHeight="1" x14ac:dyDescent="0.3">
      <c r="A57" s="371" t="s">
        <v>1518</v>
      </c>
      <c r="B57" s="371"/>
      <c r="C57" s="371"/>
      <c r="D57" s="371"/>
      <c r="E57" s="371"/>
    </row>
    <row r="58" spans="1:5" ht="48.75" customHeight="1" x14ac:dyDescent="0.3">
      <c r="A58" s="271" t="s">
        <v>1519</v>
      </c>
      <c r="B58" s="272" t="s">
        <v>1520</v>
      </c>
      <c r="C58" s="272" t="s">
        <v>1521</v>
      </c>
      <c r="D58" s="272" t="s">
        <v>1522</v>
      </c>
      <c r="E58" s="272" t="s">
        <v>1523</v>
      </c>
    </row>
    <row r="59" spans="1:5" ht="17.25" customHeight="1" x14ac:dyDescent="0.3">
      <c r="A59" s="45" t="s">
        <v>1524</v>
      </c>
      <c r="B59" s="46" t="s">
        <v>1525</v>
      </c>
      <c r="C59" s="46" t="s">
        <v>1526</v>
      </c>
      <c r="D59" s="46" t="s">
        <v>1527</v>
      </c>
      <c r="E59" s="46" t="s">
        <v>1528</v>
      </c>
    </row>
    <row r="60" spans="1:5" ht="17.25" customHeight="1" x14ac:dyDescent="0.3">
      <c r="A60" s="45" t="s">
        <v>1529</v>
      </c>
      <c r="B60" s="46" t="s">
        <v>1530</v>
      </c>
      <c r="C60" s="46" t="s">
        <v>1531</v>
      </c>
      <c r="D60" s="46" t="s">
        <v>1532</v>
      </c>
      <c r="E60" s="46" t="s">
        <v>1527</v>
      </c>
    </row>
    <row r="61" spans="1:5" ht="33" customHeight="1" x14ac:dyDescent="0.3">
      <c r="A61" s="45" t="s">
        <v>1533</v>
      </c>
      <c r="B61" s="46" t="s">
        <v>1534</v>
      </c>
      <c r="C61" s="46" t="s">
        <v>1535</v>
      </c>
      <c r="D61" s="46" t="s">
        <v>1536</v>
      </c>
      <c r="E61" s="46" t="s">
        <v>1537</v>
      </c>
    </row>
    <row r="62" spans="1:5" ht="17.25" customHeight="1" x14ac:dyDescent="0.3">
      <c r="A62" s="45" t="s">
        <v>1538</v>
      </c>
      <c r="B62" s="46" t="s">
        <v>1539</v>
      </c>
      <c r="C62" s="46" t="s">
        <v>1540</v>
      </c>
      <c r="D62" s="46" t="s">
        <v>1541</v>
      </c>
      <c r="E62" s="46" t="s">
        <v>1542</v>
      </c>
    </row>
    <row r="63" spans="1:5" ht="17.25" customHeight="1" x14ac:dyDescent="0.3">
      <c r="A63" s="45" t="s">
        <v>1543</v>
      </c>
      <c r="B63" s="46" t="s">
        <v>1544</v>
      </c>
      <c r="C63" s="46" t="s">
        <v>1357</v>
      </c>
      <c r="D63" s="46" t="s">
        <v>1351</v>
      </c>
      <c r="E63" s="46" t="s">
        <v>1545</v>
      </c>
    </row>
    <row r="64" spans="1:5" ht="74.25" customHeight="1" x14ac:dyDescent="0.3">
      <c r="A64" s="374" t="s">
        <v>1546</v>
      </c>
      <c r="B64" s="374"/>
      <c r="C64" s="374"/>
      <c r="D64" s="374"/>
      <c r="E64" s="374"/>
    </row>
    <row r="65" spans="1:5" ht="19.5" customHeight="1" x14ac:dyDescent="0.3">
      <c r="A65" s="370" t="s">
        <v>1547</v>
      </c>
      <c r="B65" s="370"/>
      <c r="C65" s="370"/>
      <c r="D65" s="370"/>
      <c r="E65" s="370"/>
    </row>
    <row r="66" spans="1:5" ht="38.25" customHeight="1" x14ac:dyDescent="0.3">
      <c r="A66" s="371" t="s">
        <v>1548</v>
      </c>
      <c r="B66" s="371"/>
      <c r="C66" s="371"/>
      <c r="D66" s="371"/>
      <c r="E66" s="371"/>
    </row>
    <row r="67" spans="1:5" ht="17.25" customHeight="1" x14ac:dyDescent="0.3">
      <c r="A67" s="271" t="s">
        <v>1549</v>
      </c>
      <c r="B67" s="372" t="s">
        <v>1550</v>
      </c>
      <c r="C67" s="372"/>
      <c r="D67" s="372"/>
      <c r="E67" s="372"/>
    </row>
    <row r="68" spans="1:5" ht="33" customHeight="1" x14ac:dyDescent="0.3">
      <c r="A68" s="45" t="s">
        <v>1551</v>
      </c>
      <c r="B68" s="373" t="s">
        <v>1552</v>
      </c>
      <c r="C68" s="373"/>
      <c r="D68" s="373"/>
      <c r="E68" s="373"/>
    </row>
    <row r="69" spans="1:5" ht="17.25" customHeight="1" x14ac:dyDescent="0.3">
      <c r="A69" s="45" t="s">
        <v>1367</v>
      </c>
      <c r="B69" s="373" t="s">
        <v>1553</v>
      </c>
      <c r="C69" s="373"/>
      <c r="D69" s="373"/>
      <c r="E69" s="373"/>
    </row>
    <row r="70" spans="1:5" ht="17.25" customHeight="1" x14ac:dyDescent="0.3">
      <c r="A70" s="45" t="s">
        <v>1554</v>
      </c>
      <c r="B70" s="373" t="s">
        <v>1555</v>
      </c>
      <c r="C70" s="373"/>
      <c r="D70" s="373"/>
      <c r="E70" s="373"/>
    </row>
    <row r="71" spans="1:5" ht="17.25" customHeight="1" x14ac:dyDescent="0.3">
      <c r="A71" s="45" t="s">
        <v>1373</v>
      </c>
      <c r="B71" s="373" t="s">
        <v>1556</v>
      </c>
      <c r="C71" s="373"/>
      <c r="D71" s="373"/>
      <c r="E71" s="373"/>
    </row>
    <row r="72" spans="1:5" ht="33" customHeight="1" x14ac:dyDescent="0.3">
      <c r="A72" s="45" t="s">
        <v>1557</v>
      </c>
      <c r="B72" s="373" t="s">
        <v>1558</v>
      </c>
      <c r="C72" s="373"/>
      <c r="D72" s="373"/>
      <c r="E72" s="373"/>
    </row>
    <row r="73" spans="1:5" ht="74.25" customHeight="1" x14ac:dyDescent="0.3">
      <c r="A73" s="374" t="s">
        <v>1559</v>
      </c>
      <c r="B73" s="374"/>
      <c r="C73" s="374"/>
      <c r="D73" s="374"/>
      <c r="E73" s="374"/>
    </row>
    <row r="74" spans="1:5" ht="19.5" customHeight="1" x14ac:dyDescent="0.3">
      <c r="A74" s="370" t="s">
        <v>1560</v>
      </c>
      <c r="B74" s="370"/>
      <c r="C74" s="370"/>
      <c r="D74" s="370"/>
      <c r="E74" s="370"/>
    </row>
    <row r="75" spans="1:5" ht="56.25" customHeight="1" x14ac:dyDescent="0.3">
      <c r="A75" s="355" t="s">
        <v>1561</v>
      </c>
      <c r="B75" s="355"/>
      <c r="C75" s="355"/>
      <c r="D75" s="355"/>
      <c r="E75" s="355"/>
    </row>
    <row r="76" spans="1:5" ht="56.25" customHeight="1" x14ac:dyDescent="0.3">
      <c r="A76" s="355" t="s">
        <v>1562</v>
      </c>
      <c r="B76" s="355"/>
      <c r="C76" s="355"/>
      <c r="D76" s="355"/>
      <c r="E76" s="355"/>
    </row>
    <row r="77" spans="1:5" ht="19.5" customHeight="1" x14ac:dyDescent="0.3">
      <c r="A77" s="349" t="s">
        <v>1415</v>
      </c>
      <c r="B77" s="349"/>
      <c r="C77" s="349"/>
      <c r="D77" s="349"/>
      <c r="E77" s="349"/>
    </row>
    <row r="78" spans="1:5" ht="19.5" customHeight="1" x14ac:dyDescent="0.3">
      <c r="A78" s="349" t="s">
        <v>1416</v>
      </c>
      <c r="B78" s="349"/>
      <c r="C78" s="349"/>
      <c r="D78" s="349"/>
      <c r="E78" s="349"/>
    </row>
    <row r="79" spans="1:5" ht="19.5" customHeight="1" x14ac:dyDescent="0.3">
      <c r="A79" s="370" t="s">
        <v>1563</v>
      </c>
      <c r="B79" s="370"/>
      <c r="C79" s="370"/>
      <c r="D79" s="370"/>
      <c r="E79" s="370"/>
    </row>
    <row r="80" spans="1:5" ht="38.25" customHeight="1" x14ac:dyDescent="0.3">
      <c r="A80" s="371" t="s">
        <v>1564</v>
      </c>
      <c r="B80" s="371"/>
      <c r="C80" s="371"/>
      <c r="D80" s="371"/>
      <c r="E80" s="371"/>
    </row>
    <row r="81" spans="1:5" ht="17.25" customHeight="1" x14ac:dyDescent="0.3">
      <c r="A81" s="271" t="s">
        <v>1419</v>
      </c>
      <c r="B81" s="272" t="s">
        <v>1420</v>
      </c>
      <c r="C81" s="372" t="s">
        <v>1421</v>
      </c>
      <c r="D81" s="372"/>
      <c r="E81" s="372"/>
    </row>
    <row r="82" spans="1:5" ht="33" customHeight="1" x14ac:dyDescent="0.3">
      <c r="A82" s="45" t="s">
        <v>1422</v>
      </c>
      <c r="B82" s="46" t="s">
        <v>1423</v>
      </c>
      <c r="C82" s="373" t="s">
        <v>1424</v>
      </c>
      <c r="D82" s="373"/>
      <c r="E82" s="373"/>
    </row>
    <row r="83" spans="1:5" ht="33" customHeight="1" x14ac:dyDescent="0.3">
      <c r="A83" s="45" t="s">
        <v>1425</v>
      </c>
      <c r="B83" s="46" t="s">
        <v>1426</v>
      </c>
      <c r="C83" s="373" t="s">
        <v>1427</v>
      </c>
      <c r="D83" s="373"/>
      <c r="E83" s="373"/>
    </row>
    <row r="84" spans="1:5" ht="33" customHeight="1" x14ac:dyDescent="0.3">
      <c r="A84" s="45" t="s">
        <v>1428</v>
      </c>
      <c r="B84" s="46" t="s">
        <v>1429</v>
      </c>
      <c r="C84" s="373" t="s">
        <v>1430</v>
      </c>
      <c r="D84" s="373"/>
      <c r="E84" s="373"/>
    </row>
    <row r="85" spans="1:5" ht="33" customHeight="1" x14ac:dyDescent="0.3">
      <c r="A85" s="45" t="s">
        <v>1431</v>
      </c>
      <c r="B85" s="46" t="s">
        <v>1432</v>
      </c>
      <c r="C85" s="373" t="s">
        <v>1565</v>
      </c>
      <c r="D85" s="373"/>
      <c r="E85" s="373"/>
    </row>
    <row r="86" spans="1:5" ht="17.25" customHeight="1" x14ac:dyDescent="0.3">
      <c r="A86" s="45" t="s">
        <v>1434</v>
      </c>
      <c r="B86" s="46" t="s">
        <v>1566</v>
      </c>
      <c r="C86" s="373" t="s">
        <v>1436</v>
      </c>
      <c r="D86" s="373"/>
      <c r="E86" s="373"/>
    </row>
    <row r="87" spans="1:5" ht="15" customHeight="1" x14ac:dyDescent="0.3">
      <c r="A87" s="359"/>
      <c r="B87" s="359"/>
      <c r="C87" s="359"/>
      <c r="D87" s="359"/>
      <c r="E87" s="359"/>
    </row>
    <row r="88" spans="1:5" ht="38.25" customHeight="1" x14ac:dyDescent="0.3">
      <c r="A88" s="374" t="s">
        <v>1567</v>
      </c>
      <c r="B88" s="374"/>
      <c r="C88" s="374"/>
      <c r="D88" s="374"/>
      <c r="E88" s="374"/>
    </row>
    <row r="89" spans="1:5" ht="19.5" customHeight="1" x14ac:dyDescent="0.3">
      <c r="A89" s="349" t="s">
        <v>1438</v>
      </c>
      <c r="B89" s="349"/>
      <c r="C89" s="349"/>
      <c r="D89" s="349"/>
      <c r="E89" s="349"/>
    </row>
    <row r="90" spans="1:5" ht="19.5" customHeight="1" x14ac:dyDescent="0.3">
      <c r="A90" s="349" t="s">
        <v>1439</v>
      </c>
      <c r="B90" s="349"/>
      <c r="C90" s="349"/>
      <c r="D90" s="349"/>
      <c r="E90" s="349"/>
    </row>
    <row r="91" spans="1:5" ht="19.5" customHeight="1" x14ac:dyDescent="0.3">
      <c r="A91" s="370" t="s">
        <v>1568</v>
      </c>
      <c r="B91" s="370"/>
      <c r="C91" s="370"/>
      <c r="D91" s="370"/>
      <c r="E91" s="370"/>
    </row>
    <row r="92" spans="1:5" ht="56.25" customHeight="1" x14ac:dyDescent="0.3">
      <c r="A92" s="355" t="s">
        <v>1441</v>
      </c>
      <c r="B92" s="355"/>
      <c r="C92" s="355"/>
      <c r="D92" s="355"/>
      <c r="E92" s="355"/>
    </row>
    <row r="93" spans="1:5" ht="56.25" customHeight="1" x14ac:dyDescent="0.3">
      <c r="A93" s="355" t="s">
        <v>1442</v>
      </c>
      <c r="B93" s="355"/>
      <c r="C93" s="355"/>
      <c r="D93" s="355"/>
      <c r="E93" s="355"/>
    </row>
    <row r="94" spans="1:5" ht="56.25" customHeight="1" x14ac:dyDescent="0.3">
      <c r="A94" s="355" t="s">
        <v>1569</v>
      </c>
      <c r="B94" s="355"/>
      <c r="C94" s="355"/>
      <c r="D94" s="355"/>
      <c r="E94" s="355"/>
    </row>
    <row r="95" spans="1:5" ht="38.25" customHeight="1" x14ac:dyDescent="0.3">
      <c r="A95" s="355" t="s">
        <v>1444</v>
      </c>
      <c r="B95" s="355"/>
      <c r="C95" s="355"/>
      <c r="D95" s="355"/>
      <c r="E95" s="355"/>
    </row>
    <row r="96" spans="1:5" ht="19.5" customHeight="1" x14ac:dyDescent="0.3">
      <c r="A96" s="349" t="s">
        <v>1445</v>
      </c>
      <c r="B96" s="349"/>
      <c r="C96" s="349"/>
      <c r="D96" s="349"/>
      <c r="E96" s="349"/>
    </row>
    <row r="97" spans="1:5" ht="19.5" customHeight="1" x14ac:dyDescent="0.3">
      <c r="A97" s="349" t="s">
        <v>1446</v>
      </c>
      <c r="B97" s="349"/>
      <c r="C97" s="349"/>
      <c r="D97" s="349"/>
      <c r="E97" s="349"/>
    </row>
    <row r="98" spans="1:5" ht="19.5" customHeight="1" x14ac:dyDescent="0.3">
      <c r="A98" s="370" t="s">
        <v>1570</v>
      </c>
      <c r="B98" s="370"/>
      <c r="C98" s="370"/>
      <c r="D98" s="370"/>
      <c r="E98" s="370"/>
    </row>
    <row r="99" spans="1:5" ht="56.25" customHeight="1" x14ac:dyDescent="0.3">
      <c r="A99" s="355" t="s">
        <v>1448</v>
      </c>
      <c r="B99" s="355"/>
      <c r="C99" s="355"/>
      <c r="D99" s="355"/>
      <c r="E99" s="355"/>
    </row>
    <row r="100" spans="1:5" ht="74.25" customHeight="1" x14ac:dyDescent="0.3">
      <c r="A100" s="355" t="s">
        <v>1449</v>
      </c>
      <c r="B100" s="355"/>
      <c r="C100" s="355"/>
      <c r="D100" s="355"/>
      <c r="E100" s="355"/>
    </row>
    <row r="101" spans="1:5" ht="38.25" customHeight="1" x14ac:dyDescent="0.3">
      <c r="A101" s="355" t="s">
        <v>1450</v>
      </c>
      <c r="B101" s="355"/>
      <c r="C101" s="355"/>
      <c r="D101" s="355"/>
      <c r="E101" s="355"/>
    </row>
    <row r="102" spans="1:5" ht="56.25" customHeight="1" x14ac:dyDescent="0.3">
      <c r="A102" s="355" t="s">
        <v>1571</v>
      </c>
      <c r="B102" s="355"/>
      <c r="C102" s="355"/>
      <c r="D102" s="355"/>
      <c r="E102" s="355"/>
    </row>
    <row r="103" spans="1:5" ht="56.25" customHeight="1" x14ac:dyDescent="0.3">
      <c r="A103" s="355" t="s">
        <v>1451</v>
      </c>
      <c r="B103" s="355"/>
      <c r="C103" s="355"/>
      <c r="D103" s="355"/>
      <c r="E103" s="355"/>
    </row>
    <row r="104" spans="1:5" ht="19.5" customHeight="1" x14ac:dyDescent="0.3">
      <c r="A104" s="370" t="s">
        <v>1572</v>
      </c>
      <c r="B104" s="370"/>
      <c r="C104" s="370"/>
      <c r="D104" s="370"/>
      <c r="E104" s="370"/>
    </row>
    <row r="105" spans="1:5" ht="110.25" customHeight="1" x14ac:dyDescent="0.3">
      <c r="A105" s="371" t="s">
        <v>1453</v>
      </c>
      <c r="B105" s="371"/>
      <c r="C105" s="371"/>
      <c r="D105" s="371"/>
      <c r="E105" s="371"/>
    </row>
    <row r="106" spans="1:5" ht="19.5" customHeight="1" x14ac:dyDescent="0.3">
      <c r="A106" s="349" t="s">
        <v>1454</v>
      </c>
      <c r="B106" s="349"/>
      <c r="C106" s="349"/>
      <c r="D106" s="349"/>
      <c r="E106" s="349"/>
    </row>
    <row r="107" spans="1:5" ht="19.5" customHeight="1" x14ac:dyDescent="0.3">
      <c r="A107" s="349" t="s">
        <v>1455</v>
      </c>
      <c r="B107" s="349"/>
      <c r="C107" s="349"/>
      <c r="D107" s="349"/>
      <c r="E107" s="349"/>
    </row>
    <row r="108" spans="1:5" ht="19.5" customHeight="1" x14ac:dyDescent="0.3">
      <c r="A108" s="370" t="s">
        <v>1456</v>
      </c>
      <c r="B108" s="370"/>
      <c r="C108" s="370"/>
      <c r="D108" s="370"/>
      <c r="E108" s="370"/>
    </row>
    <row r="109" spans="1:5" ht="19.5" customHeight="1" x14ac:dyDescent="0.3">
      <c r="A109" s="355" t="s">
        <v>1457</v>
      </c>
      <c r="B109" s="355"/>
      <c r="C109" s="355"/>
      <c r="D109" s="355"/>
      <c r="E109" s="355"/>
    </row>
    <row r="110" spans="1:5" ht="38.25" customHeight="1" x14ac:dyDescent="0.3">
      <c r="A110" s="355" t="s">
        <v>1573</v>
      </c>
      <c r="B110" s="355"/>
      <c r="C110" s="355"/>
      <c r="D110" s="355"/>
      <c r="E110" s="355"/>
    </row>
    <row r="111" spans="1:5" ht="38.25" customHeight="1" x14ac:dyDescent="0.3">
      <c r="A111" s="355" t="s">
        <v>1574</v>
      </c>
      <c r="B111" s="355"/>
      <c r="C111" s="355"/>
      <c r="D111" s="355"/>
      <c r="E111" s="355"/>
    </row>
    <row r="112" spans="1:5" ht="19.5" customHeight="1" x14ac:dyDescent="0.3">
      <c r="A112" s="355" t="s">
        <v>1575</v>
      </c>
      <c r="B112" s="355"/>
      <c r="C112" s="355"/>
      <c r="D112" s="355"/>
      <c r="E112" s="355"/>
    </row>
    <row r="113" spans="1:5" ht="38.25" customHeight="1" x14ac:dyDescent="0.3">
      <c r="A113" s="355" t="s">
        <v>1459</v>
      </c>
      <c r="B113" s="355"/>
      <c r="C113" s="355"/>
      <c r="D113" s="355"/>
      <c r="E113" s="355"/>
    </row>
    <row r="114" spans="1:5" ht="19.5" customHeight="1" x14ac:dyDescent="0.3">
      <c r="A114" s="355" t="s">
        <v>1460</v>
      </c>
      <c r="B114" s="355"/>
      <c r="C114" s="355"/>
      <c r="D114" s="355"/>
      <c r="E114" s="355"/>
    </row>
    <row r="115" spans="1:5" ht="38.25" customHeight="1" x14ac:dyDescent="0.3">
      <c r="A115" s="370" t="s">
        <v>1576</v>
      </c>
      <c r="B115" s="370"/>
      <c r="C115" s="370"/>
      <c r="D115" s="370"/>
      <c r="E115" s="370"/>
    </row>
    <row r="116" spans="1:5" ht="19.5" customHeight="1" x14ac:dyDescent="0.3">
      <c r="A116" s="370" t="s">
        <v>1577</v>
      </c>
      <c r="B116" s="370"/>
      <c r="C116" s="370"/>
      <c r="D116" s="370"/>
      <c r="E116" s="370"/>
    </row>
    <row r="117" spans="1:5" ht="19.5" customHeight="1" x14ac:dyDescent="0.3">
      <c r="A117" s="355" t="s">
        <v>1463</v>
      </c>
      <c r="B117" s="355"/>
      <c r="C117" s="355"/>
      <c r="D117" s="355"/>
      <c r="E117" s="355"/>
    </row>
    <row r="118" spans="1:5" ht="19.5" customHeight="1" x14ac:dyDescent="0.3">
      <c r="A118" s="355" t="s">
        <v>1578</v>
      </c>
      <c r="B118" s="355"/>
      <c r="C118" s="355"/>
      <c r="D118" s="355"/>
      <c r="E118" s="355"/>
    </row>
    <row r="119" spans="1:5" ht="19.5" customHeight="1" x14ac:dyDescent="0.3">
      <c r="A119" s="355" t="s">
        <v>1579</v>
      </c>
      <c r="B119" s="355"/>
      <c r="C119" s="355"/>
      <c r="D119" s="355"/>
      <c r="E119" s="355"/>
    </row>
    <row r="120" spans="1:5" ht="19.5" customHeight="1" x14ac:dyDescent="0.3">
      <c r="A120" s="355" t="s">
        <v>1580</v>
      </c>
      <c r="B120" s="355"/>
      <c r="C120" s="355"/>
      <c r="D120" s="355"/>
      <c r="E120" s="355"/>
    </row>
    <row r="121" spans="1:5" ht="38.25" customHeight="1" x14ac:dyDescent="0.3">
      <c r="A121" s="355" t="s">
        <v>1465</v>
      </c>
      <c r="B121" s="355"/>
      <c r="C121" s="355"/>
      <c r="D121" s="355"/>
      <c r="E121" s="355"/>
    </row>
    <row r="122" spans="1:5" ht="19.5" customHeight="1" x14ac:dyDescent="0.3">
      <c r="A122" s="370" t="s">
        <v>1581</v>
      </c>
      <c r="B122" s="370"/>
      <c r="C122" s="370"/>
      <c r="D122" s="370"/>
      <c r="E122" s="370"/>
    </row>
    <row r="123" spans="1:5" ht="38.25" customHeight="1" x14ac:dyDescent="0.3">
      <c r="A123" s="374" t="s">
        <v>1582</v>
      </c>
      <c r="B123" s="374"/>
      <c r="C123" s="374"/>
      <c r="D123" s="374"/>
      <c r="E123" s="374"/>
    </row>
    <row r="124" spans="1:5" ht="19.5" customHeight="1" x14ac:dyDescent="0.3">
      <c r="A124" s="349" t="s">
        <v>1468</v>
      </c>
      <c r="B124" s="349"/>
      <c r="C124" s="349"/>
      <c r="D124" s="349"/>
      <c r="E124" s="349"/>
    </row>
    <row r="125" spans="1:5" ht="19.5" customHeight="1" x14ac:dyDescent="0.3">
      <c r="A125" s="349" t="s">
        <v>1469</v>
      </c>
      <c r="B125" s="349"/>
      <c r="C125" s="349"/>
      <c r="D125" s="349"/>
      <c r="E125" s="349"/>
    </row>
    <row r="126" spans="1:5" ht="19.5" customHeight="1" x14ac:dyDescent="0.3">
      <c r="A126" s="370" t="s">
        <v>1583</v>
      </c>
      <c r="B126" s="370"/>
      <c r="C126" s="370"/>
      <c r="D126" s="370"/>
      <c r="E126" s="370"/>
    </row>
    <row r="127" spans="1:5" ht="38.25" customHeight="1" x14ac:dyDescent="0.3">
      <c r="A127" s="355" t="s">
        <v>1471</v>
      </c>
      <c r="B127" s="355"/>
      <c r="C127" s="355"/>
      <c r="D127" s="355"/>
      <c r="E127" s="355"/>
    </row>
    <row r="128" spans="1:5" ht="74.25" customHeight="1" x14ac:dyDescent="0.3">
      <c r="A128" s="355" t="s">
        <v>1584</v>
      </c>
      <c r="B128" s="355"/>
      <c r="C128" s="355"/>
      <c r="D128" s="355"/>
      <c r="E128" s="355"/>
    </row>
    <row r="129" spans="1:5" ht="38.25" customHeight="1" x14ac:dyDescent="0.3">
      <c r="A129" s="355" t="s">
        <v>1473</v>
      </c>
      <c r="B129" s="355"/>
      <c r="C129" s="355"/>
      <c r="D129" s="355"/>
      <c r="E129" s="355"/>
    </row>
    <row r="130" spans="1:5" ht="19.5" customHeight="1" x14ac:dyDescent="0.3">
      <c r="A130" s="370" t="s">
        <v>1585</v>
      </c>
      <c r="B130" s="370"/>
      <c r="C130" s="370"/>
      <c r="D130" s="370"/>
      <c r="E130" s="370"/>
    </row>
    <row r="131" spans="1:5" ht="74.25" customHeight="1" x14ac:dyDescent="0.3">
      <c r="A131" s="371" t="s">
        <v>1586</v>
      </c>
      <c r="B131" s="371"/>
      <c r="C131" s="371"/>
      <c r="D131" s="371"/>
      <c r="E131" s="371"/>
    </row>
    <row r="132" spans="1:5" ht="19.5" customHeight="1" x14ac:dyDescent="0.3">
      <c r="A132" s="349" t="s">
        <v>1476</v>
      </c>
      <c r="B132" s="349"/>
      <c r="C132" s="349"/>
      <c r="D132" s="349"/>
      <c r="E132" s="349"/>
    </row>
    <row r="133" spans="1:5" ht="19.5" customHeight="1" x14ac:dyDescent="0.3">
      <c r="A133" s="349" t="s">
        <v>1477</v>
      </c>
      <c r="B133" s="349"/>
      <c r="C133" s="349"/>
      <c r="D133" s="349"/>
      <c r="E133" s="349"/>
    </row>
    <row r="134" spans="1:5" ht="19.5" customHeight="1" x14ac:dyDescent="0.3">
      <c r="A134" s="370" t="s">
        <v>1587</v>
      </c>
      <c r="B134" s="370"/>
      <c r="C134" s="370"/>
      <c r="D134" s="370"/>
      <c r="E134" s="370"/>
    </row>
    <row r="135" spans="1:5" ht="56.25" customHeight="1" x14ac:dyDescent="0.3">
      <c r="A135" s="371" t="s">
        <v>1588</v>
      </c>
      <c r="B135" s="371"/>
      <c r="C135" s="371"/>
      <c r="D135" s="371"/>
      <c r="E135" s="371"/>
    </row>
    <row r="136" spans="1:5" ht="19.5" customHeight="1" x14ac:dyDescent="0.3">
      <c r="A136" s="370" t="s">
        <v>1589</v>
      </c>
      <c r="B136" s="370"/>
      <c r="C136" s="370"/>
      <c r="D136" s="370"/>
      <c r="E136" s="370"/>
    </row>
    <row r="137" spans="1:5" ht="74.25" customHeight="1" x14ac:dyDescent="0.3">
      <c r="A137" s="355" t="s">
        <v>1481</v>
      </c>
      <c r="B137" s="355"/>
      <c r="C137" s="355"/>
      <c r="D137" s="355"/>
      <c r="E137" s="355"/>
    </row>
    <row r="138" spans="1:5" ht="56.25" customHeight="1" x14ac:dyDescent="0.3">
      <c r="A138" s="355" t="s">
        <v>1590</v>
      </c>
      <c r="B138" s="355"/>
      <c r="C138" s="355"/>
      <c r="D138" s="355"/>
      <c r="E138" s="355"/>
    </row>
    <row r="139" spans="1:5" ht="56.25" customHeight="1" x14ac:dyDescent="0.3">
      <c r="A139" s="355" t="s">
        <v>1482</v>
      </c>
      <c r="B139" s="355"/>
      <c r="C139" s="355"/>
      <c r="D139" s="355"/>
      <c r="E139" s="355"/>
    </row>
    <row r="140" spans="1:5" ht="7.5" customHeight="1" x14ac:dyDescent="0.3">
      <c r="A140" s="273"/>
    </row>
    <row r="141" spans="1:5" ht="18" customHeight="1" x14ac:dyDescent="0.3">
      <c r="A141" s="274"/>
      <c r="C141" s="366" t="s">
        <v>195</v>
      </c>
      <c r="D141" s="366"/>
      <c r="E141" s="366"/>
    </row>
    <row r="142" spans="1:5" ht="18" customHeight="1" x14ac:dyDescent="0.3">
      <c r="A142" s="275"/>
      <c r="C142" s="368" t="s">
        <v>1483</v>
      </c>
      <c r="D142" s="368"/>
      <c r="E142" s="368"/>
    </row>
  </sheetData>
  <mergeCells count="133">
    <mergeCell ref="A135:E135"/>
    <mergeCell ref="A136:E136"/>
    <mergeCell ref="A137:E137"/>
    <mergeCell ref="A138:E138"/>
    <mergeCell ref="A139:E139"/>
    <mergeCell ref="C141:E141"/>
    <mergeCell ref="C142:E142"/>
    <mergeCell ref="A126:E126"/>
    <mergeCell ref="A127:E127"/>
    <mergeCell ref="A128:E128"/>
    <mergeCell ref="A129:E129"/>
    <mergeCell ref="A130:E130"/>
    <mergeCell ref="A131:E131"/>
    <mergeCell ref="A132:E132"/>
    <mergeCell ref="A133:E133"/>
    <mergeCell ref="A134:E134"/>
    <mergeCell ref="A117:E117"/>
    <mergeCell ref="A118:E118"/>
    <mergeCell ref="A119:E119"/>
    <mergeCell ref="A120:E120"/>
    <mergeCell ref="A121:E121"/>
    <mergeCell ref="A122:E122"/>
    <mergeCell ref="A123:E123"/>
    <mergeCell ref="A124:E124"/>
    <mergeCell ref="A125:E125"/>
    <mergeCell ref="A108:E108"/>
    <mergeCell ref="A109:E109"/>
    <mergeCell ref="A110:E110"/>
    <mergeCell ref="A111:E111"/>
    <mergeCell ref="A112:E112"/>
    <mergeCell ref="A113:E113"/>
    <mergeCell ref="A114:E114"/>
    <mergeCell ref="A115:E115"/>
    <mergeCell ref="A116:E116"/>
    <mergeCell ref="A99:E99"/>
    <mergeCell ref="A100:E100"/>
    <mergeCell ref="A101:E101"/>
    <mergeCell ref="A102:E102"/>
    <mergeCell ref="A103:E103"/>
    <mergeCell ref="A104:E104"/>
    <mergeCell ref="A105:E105"/>
    <mergeCell ref="A106:E106"/>
    <mergeCell ref="A107:E107"/>
    <mergeCell ref="A90:E90"/>
    <mergeCell ref="A91:E91"/>
    <mergeCell ref="A92:E92"/>
    <mergeCell ref="A93:E93"/>
    <mergeCell ref="A94:E94"/>
    <mergeCell ref="A95:E95"/>
    <mergeCell ref="A96:E96"/>
    <mergeCell ref="A97:E97"/>
    <mergeCell ref="A98:E98"/>
    <mergeCell ref="C81:E81"/>
    <mergeCell ref="C82:E82"/>
    <mergeCell ref="C83:E83"/>
    <mergeCell ref="C84:E84"/>
    <mergeCell ref="C85:E85"/>
    <mergeCell ref="C86:E86"/>
    <mergeCell ref="A87:E87"/>
    <mergeCell ref="A88:E88"/>
    <mergeCell ref="A89:E89"/>
    <mergeCell ref="B72:E72"/>
    <mergeCell ref="A73:E73"/>
    <mergeCell ref="A74:E74"/>
    <mergeCell ref="A75:E75"/>
    <mergeCell ref="A76:E76"/>
    <mergeCell ref="A77:E77"/>
    <mergeCell ref="A78:E78"/>
    <mergeCell ref="A79:E79"/>
    <mergeCell ref="A80:E80"/>
    <mergeCell ref="A57:E57"/>
    <mergeCell ref="A64:E64"/>
    <mergeCell ref="A65:E65"/>
    <mergeCell ref="A66:E66"/>
    <mergeCell ref="B67:E67"/>
    <mergeCell ref="B68:E68"/>
    <mergeCell ref="B69:E69"/>
    <mergeCell ref="B70:E70"/>
    <mergeCell ref="B71:E71"/>
    <mergeCell ref="C48:E48"/>
    <mergeCell ref="C49:E49"/>
    <mergeCell ref="C50:E50"/>
    <mergeCell ref="C51:E51"/>
    <mergeCell ref="A52:E52"/>
    <mergeCell ref="A53:E53"/>
    <mergeCell ref="A54:E54"/>
    <mergeCell ref="A55:E55"/>
    <mergeCell ref="A56:E56"/>
    <mergeCell ref="A39:E39"/>
    <mergeCell ref="A40:E40"/>
    <mergeCell ref="D41:E41"/>
    <mergeCell ref="D42:E42"/>
    <mergeCell ref="D43:E43"/>
    <mergeCell ref="D44:E44"/>
    <mergeCell ref="D45:E45"/>
    <mergeCell ref="A46:E46"/>
    <mergeCell ref="A47:E47"/>
    <mergeCell ref="C25:E25"/>
    <mergeCell ref="C26:E26"/>
    <mergeCell ref="C27:E27"/>
    <mergeCell ref="C28:E28"/>
    <mergeCell ref="C29:E29"/>
    <mergeCell ref="A30:E30"/>
    <mergeCell ref="A31:E31"/>
    <mergeCell ref="A32:E32"/>
    <mergeCell ref="A33:E33"/>
    <mergeCell ref="A16:E16"/>
    <mergeCell ref="A17:E17"/>
    <mergeCell ref="A18:E18"/>
    <mergeCell ref="A19:E19"/>
    <mergeCell ref="A20:E20"/>
    <mergeCell ref="A21:E21"/>
    <mergeCell ref="A22:E22"/>
    <mergeCell ref="A23:E23"/>
    <mergeCell ref="A24:E24"/>
    <mergeCell ref="A7:E7"/>
    <mergeCell ref="A8:E8"/>
    <mergeCell ref="A9:E9"/>
    <mergeCell ref="A10:E10"/>
    <mergeCell ref="A11:E11"/>
    <mergeCell ref="A12:E12"/>
    <mergeCell ref="A13:E13"/>
    <mergeCell ref="A14:E14"/>
    <mergeCell ref="A15:E15"/>
    <mergeCell ref="A1:B1"/>
    <mergeCell ref="C1:E1"/>
    <mergeCell ref="A2:B2"/>
    <mergeCell ref="C2:E2"/>
    <mergeCell ref="A3:B3"/>
    <mergeCell ref="C3:E3"/>
    <mergeCell ref="C4:E4"/>
    <mergeCell ref="A5:E5"/>
    <mergeCell ref="A6:E6"/>
  </mergeCells>
  <pageMargins left="0.5" right="0.5" top="0.5" bottom="0.55000000000000004" header="0.511811023622047" footer="0.25"/>
  <pageSetup paperSize="9" fitToHeight="0" orientation="portrait" horizontalDpi="300" verticalDpi="300"/>
  <headerFooter>
    <oddFooter>&amp;C&amp;"Times New Roman,Italic"&amp;9 Trang &amp;P/&amp;N</oddFooter>
  </headerFooter>
  <rowBreaks count="7" manualBreakCount="7">
    <brk id="19" max="16383" man="1"/>
    <brk id="39" max="16383" man="1"/>
    <brk id="63" max="16383" man="1"/>
    <brk id="78" max="16383" man="1"/>
    <brk id="99" max="16383" man="1"/>
    <brk id="119" max="16383" man="1"/>
    <brk id="138"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0C0"/>
    <pageSetUpPr fitToPage="1"/>
  </sheetPr>
  <dimension ref="A1:I165"/>
  <sheetViews>
    <sheetView showGridLines="0" zoomScaleNormal="100" workbookViewId="0">
      <selection activeCell="J38" sqref="J38"/>
    </sheetView>
  </sheetViews>
  <sheetFormatPr defaultColWidth="8.6640625" defaultRowHeight="14.4" x14ac:dyDescent="0.3"/>
  <cols>
    <col min="1" max="1" width="27" customWidth="1"/>
    <col min="2" max="2" width="19" customWidth="1"/>
    <col min="3" max="3" width="17" customWidth="1"/>
    <col min="4" max="4" width="18" customWidth="1"/>
    <col min="5" max="5" width="17" customWidth="1"/>
    <col min="6" max="19" width="2" customWidth="1"/>
  </cols>
  <sheetData>
    <row r="1" spans="1:9" ht="18" customHeight="1" x14ac:dyDescent="0.3">
      <c r="A1" s="366" t="s">
        <v>1303</v>
      </c>
      <c r="B1" s="366"/>
      <c r="C1" s="366" t="s">
        <v>244</v>
      </c>
      <c r="D1" s="366"/>
      <c r="E1" s="366"/>
    </row>
    <row r="2" spans="1:9" ht="18" customHeight="1" x14ac:dyDescent="0.3">
      <c r="A2" s="367" t="s">
        <v>1304</v>
      </c>
      <c r="B2" s="367"/>
      <c r="C2" s="366" t="s">
        <v>246</v>
      </c>
      <c r="D2" s="366"/>
      <c r="E2" s="366"/>
    </row>
    <row r="3" spans="1:9" ht="18" customHeight="1" x14ac:dyDescent="0.3">
      <c r="A3" s="367" t="s">
        <v>1305</v>
      </c>
      <c r="B3" s="367"/>
      <c r="C3" s="367" t="s">
        <v>1305</v>
      </c>
      <c r="D3" s="367"/>
      <c r="E3" s="367"/>
      <c r="I3" s="276"/>
    </row>
    <row r="4" spans="1:9" ht="18" customHeight="1" x14ac:dyDescent="0.3">
      <c r="A4" s="270"/>
      <c r="C4" s="368" t="s">
        <v>1306</v>
      </c>
      <c r="D4" s="368"/>
      <c r="E4" s="368"/>
    </row>
    <row r="5" spans="1:9" ht="22.5" customHeight="1" x14ac:dyDescent="0.3">
      <c r="A5" s="369" t="s">
        <v>1591</v>
      </c>
      <c r="B5" s="369"/>
      <c r="C5" s="369"/>
      <c r="D5" s="369"/>
      <c r="E5" s="369"/>
    </row>
    <row r="6" spans="1:9" ht="35.25" customHeight="1" x14ac:dyDescent="0.3">
      <c r="A6" s="368" t="s">
        <v>1592</v>
      </c>
      <c r="B6" s="368"/>
      <c r="C6" s="368"/>
      <c r="D6" s="368"/>
      <c r="E6" s="368"/>
    </row>
    <row r="7" spans="1:9" ht="35.25" customHeight="1" x14ac:dyDescent="0.3">
      <c r="A7" s="368" t="s">
        <v>1309</v>
      </c>
      <c r="B7" s="368"/>
      <c r="C7" s="368"/>
      <c r="D7" s="368"/>
      <c r="E7" s="368"/>
    </row>
    <row r="8" spans="1:9" ht="19.5" customHeight="1" x14ac:dyDescent="0.3">
      <c r="A8" s="349" t="s">
        <v>1310</v>
      </c>
      <c r="B8" s="349"/>
      <c r="C8" s="349"/>
      <c r="D8" s="349"/>
      <c r="E8" s="349"/>
    </row>
    <row r="9" spans="1:9" ht="19.5" customHeight="1" x14ac:dyDescent="0.3">
      <c r="A9" s="349" t="s">
        <v>1311</v>
      </c>
      <c r="B9" s="349"/>
      <c r="C9" s="349"/>
      <c r="D9" s="349"/>
      <c r="E9" s="349"/>
    </row>
    <row r="10" spans="1:9" ht="19.5" customHeight="1" x14ac:dyDescent="0.3">
      <c r="A10" s="370" t="s">
        <v>1312</v>
      </c>
      <c r="B10" s="370"/>
      <c r="C10" s="370"/>
      <c r="D10" s="370"/>
      <c r="E10" s="370"/>
    </row>
    <row r="11" spans="1:9" ht="74.25" customHeight="1" x14ac:dyDescent="0.3">
      <c r="A11" s="371" t="s">
        <v>1593</v>
      </c>
      <c r="B11" s="371"/>
      <c r="C11" s="371"/>
      <c r="D11" s="371"/>
      <c r="E11" s="371"/>
    </row>
    <row r="12" spans="1:9" ht="38.25" customHeight="1" x14ac:dyDescent="0.3">
      <c r="A12" s="355" t="s">
        <v>1314</v>
      </c>
      <c r="B12" s="355"/>
      <c r="C12" s="355"/>
      <c r="D12" s="355"/>
      <c r="E12" s="355"/>
    </row>
    <row r="13" spans="1:9" ht="38.25" customHeight="1" x14ac:dyDescent="0.3">
      <c r="A13" s="355" t="s">
        <v>1594</v>
      </c>
      <c r="B13" s="355"/>
      <c r="C13" s="355"/>
      <c r="D13" s="355"/>
      <c r="E13" s="355"/>
    </row>
    <row r="14" spans="1:9" ht="38.25" customHeight="1" x14ac:dyDescent="0.3">
      <c r="A14" s="355" t="s">
        <v>1595</v>
      </c>
      <c r="B14" s="355"/>
      <c r="C14" s="355"/>
      <c r="D14" s="355"/>
      <c r="E14" s="355"/>
    </row>
    <row r="15" spans="1:9" ht="19.5" customHeight="1" x14ac:dyDescent="0.3">
      <c r="A15" s="370" t="s">
        <v>1317</v>
      </c>
      <c r="B15" s="370"/>
      <c r="C15" s="370"/>
      <c r="D15" s="370"/>
      <c r="E15" s="370"/>
    </row>
    <row r="16" spans="1:9" ht="38.25" customHeight="1" x14ac:dyDescent="0.3">
      <c r="A16" s="371" t="s">
        <v>1596</v>
      </c>
      <c r="B16" s="371"/>
      <c r="C16" s="371"/>
      <c r="D16" s="371"/>
      <c r="E16" s="371"/>
    </row>
    <row r="17" spans="1:5" ht="19.5" customHeight="1" x14ac:dyDescent="0.3">
      <c r="A17" s="355" t="s">
        <v>1597</v>
      </c>
      <c r="B17" s="355"/>
      <c r="C17" s="355"/>
      <c r="D17" s="355"/>
      <c r="E17" s="355"/>
    </row>
    <row r="18" spans="1:5" ht="38.25" customHeight="1" x14ac:dyDescent="0.3">
      <c r="A18" s="355" t="s">
        <v>1598</v>
      </c>
      <c r="B18" s="355"/>
      <c r="C18" s="355"/>
      <c r="D18" s="355"/>
      <c r="E18" s="355"/>
    </row>
    <row r="19" spans="1:5" ht="19.5" customHeight="1" x14ac:dyDescent="0.3">
      <c r="A19" s="355" t="s">
        <v>1599</v>
      </c>
      <c r="B19" s="355"/>
      <c r="C19" s="355"/>
      <c r="D19" s="355"/>
      <c r="E19" s="355"/>
    </row>
    <row r="20" spans="1:5" ht="38.25" customHeight="1" x14ac:dyDescent="0.3">
      <c r="A20" s="355" t="s">
        <v>1600</v>
      </c>
      <c r="B20" s="355"/>
      <c r="C20" s="355"/>
      <c r="D20" s="355"/>
      <c r="E20" s="355"/>
    </row>
    <row r="21" spans="1:5" ht="19.5" customHeight="1" x14ac:dyDescent="0.3">
      <c r="A21" s="355" t="s">
        <v>1601</v>
      </c>
      <c r="B21" s="355"/>
      <c r="C21" s="355"/>
      <c r="D21" s="355"/>
      <c r="E21" s="355"/>
    </row>
    <row r="22" spans="1:5" ht="19.5" customHeight="1" x14ac:dyDescent="0.3">
      <c r="A22" s="355" t="s">
        <v>1602</v>
      </c>
      <c r="B22" s="355"/>
      <c r="C22" s="355"/>
      <c r="D22" s="355"/>
      <c r="E22" s="355"/>
    </row>
    <row r="23" spans="1:5" ht="19.5" customHeight="1" x14ac:dyDescent="0.3">
      <c r="A23" s="355" t="s">
        <v>1603</v>
      </c>
      <c r="B23" s="355"/>
      <c r="C23" s="355"/>
      <c r="D23" s="355"/>
      <c r="E23" s="355"/>
    </row>
    <row r="24" spans="1:5" ht="56.25" customHeight="1" x14ac:dyDescent="0.3">
      <c r="A24" s="374" t="s">
        <v>1604</v>
      </c>
      <c r="B24" s="374"/>
      <c r="C24" s="374"/>
      <c r="D24" s="374"/>
      <c r="E24" s="374"/>
    </row>
    <row r="25" spans="1:5" ht="19.5" customHeight="1" x14ac:dyDescent="0.3">
      <c r="A25" s="370" t="s">
        <v>1319</v>
      </c>
      <c r="B25" s="370"/>
      <c r="C25" s="370"/>
      <c r="D25" s="370"/>
      <c r="E25" s="370"/>
    </row>
    <row r="26" spans="1:5" ht="56.25" customHeight="1" x14ac:dyDescent="0.3">
      <c r="A26" s="355" t="s">
        <v>1605</v>
      </c>
      <c r="B26" s="355"/>
      <c r="C26" s="355"/>
      <c r="D26" s="355"/>
      <c r="E26" s="355"/>
    </row>
    <row r="27" spans="1:5" ht="56.25" customHeight="1" x14ac:dyDescent="0.3">
      <c r="A27" s="355" t="s">
        <v>1606</v>
      </c>
      <c r="B27" s="355"/>
      <c r="C27" s="355"/>
      <c r="D27" s="355"/>
      <c r="E27" s="355"/>
    </row>
    <row r="28" spans="1:5" ht="38.25" customHeight="1" x14ac:dyDescent="0.3">
      <c r="A28" s="355" t="s">
        <v>1322</v>
      </c>
      <c r="B28" s="355"/>
      <c r="C28" s="355"/>
      <c r="D28" s="355"/>
      <c r="E28" s="355"/>
    </row>
    <row r="29" spans="1:5" ht="38.25" customHeight="1" x14ac:dyDescent="0.3">
      <c r="A29" s="355" t="s">
        <v>1607</v>
      </c>
      <c r="B29" s="355"/>
      <c r="C29" s="355"/>
      <c r="D29" s="355"/>
      <c r="E29" s="355"/>
    </row>
    <row r="30" spans="1:5" ht="19.5" customHeight="1" x14ac:dyDescent="0.3">
      <c r="A30" s="370" t="s">
        <v>1324</v>
      </c>
      <c r="B30" s="370"/>
      <c r="C30" s="370"/>
      <c r="D30" s="370"/>
      <c r="E30" s="370"/>
    </row>
    <row r="31" spans="1:5" ht="56.25" customHeight="1" x14ac:dyDescent="0.3">
      <c r="A31" s="371" t="s">
        <v>1325</v>
      </c>
      <c r="B31" s="371"/>
      <c r="C31" s="371"/>
      <c r="D31" s="371"/>
      <c r="E31" s="371"/>
    </row>
    <row r="32" spans="1:5" ht="33" customHeight="1" x14ac:dyDescent="0.3">
      <c r="A32" s="271" t="s">
        <v>1326</v>
      </c>
      <c r="B32" s="272" t="s">
        <v>1327</v>
      </c>
      <c r="C32" s="372" t="s">
        <v>1328</v>
      </c>
      <c r="D32" s="372"/>
      <c r="E32" s="372"/>
    </row>
    <row r="33" spans="1:5" ht="17.25" customHeight="1" x14ac:dyDescent="0.3">
      <c r="A33" s="45" t="s">
        <v>1329</v>
      </c>
      <c r="B33" s="46" t="s">
        <v>1330</v>
      </c>
      <c r="C33" s="373" t="s">
        <v>1331</v>
      </c>
      <c r="D33" s="373"/>
      <c r="E33" s="373"/>
    </row>
    <row r="34" spans="1:5" ht="17.25" customHeight="1" x14ac:dyDescent="0.3">
      <c r="A34" s="45" t="s">
        <v>1332</v>
      </c>
      <c r="B34" s="46" t="s">
        <v>1333</v>
      </c>
      <c r="C34" s="373" t="s">
        <v>1334</v>
      </c>
      <c r="D34" s="373"/>
      <c r="E34" s="373"/>
    </row>
    <row r="35" spans="1:5" ht="17.25" customHeight="1" x14ac:dyDescent="0.3">
      <c r="A35" s="45" t="s">
        <v>1335</v>
      </c>
      <c r="B35" s="46" t="s">
        <v>1336</v>
      </c>
      <c r="C35" s="373" t="s">
        <v>1337</v>
      </c>
      <c r="D35" s="373"/>
      <c r="E35" s="373"/>
    </row>
    <row r="36" spans="1:5" ht="17.25" customHeight="1" x14ac:dyDescent="0.3">
      <c r="A36" s="45" t="s">
        <v>1338</v>
      </c>
      <c r="B36" s="46" t="s">
        <v>1339</v>
      </c>
      <c r="C36" s="373" t="s">
        <v>1340</v>
      </c>
      <c r="D36" s="373"/>
      <c r="E36" s="373"/>
    </row>
    <row r="37" spans="1:5" ht="74.25" customHeight="1" x14ac:dyDescent="0.3">
      <c r="A37" s="374" t="s">
        <v>1608</v>
      </c>
      <c r="B37" s="374"/>
      <c r="C37" s="374"/>
      <c r="D37" s="374"/>
      <c r="E37" s="374"/>
    </row>
    <row r="38" spans="1:5" ht="19.5" customHeight="1" x14ac:dyDescent="0.3">
      <c r="A38" s="349" t="s">
        <v>1342</v>
      </c>
      <c r="B38" s="349"/>
      <c r="C38" s="349"/>
      <c r="D38" s="349"/>
      <c r="E38" s="349"/>
    </row>
    <row r="39" spans="1:5" ht="19.5" customHeight="1" x14ac:dyDescent="0.3">
      <c r="A39" s="349" t="s">
        <v>1609</v>
      </c>
      <c r="B39" s="349"/>
      <c r="C39" s="349"/>
      <c r="D39" s="349"/>
      <c r="E39" s="349"/>
    </row>
    <row r="40" spans="1:5" ht="19.5" customHeight="1" x14ac:dyDescent="0.3">
      <c r="A40" s="370" t="s">
        <v>1610</v>
      </c>
      <c r="B40" s="370"/>
      <c r="C40" s="370"/>
      <c r="D40" s="370"/>
      <c r="E40" s="370"/>
    </row>
    <row r="41" spans="1:5" ht="74.25" customHeight="1" x14ac:dyDescent="0.3">
      <c r="A41" s="355" t="s">
        <v>1611</v>
      </c>
      <c r="B41" s="355"/>
      <c r="C41" s="355"/>
      <c r="D41" s="355"/>
      <c r="E41" s="355"/>
    </row>
    <row r="42" spans="1:5" ht="74.25" customHeight="1" x14ac:dyDescent="0.3">
      <c r="A42" s="355" t="s">
        <v>1612</v>
      </c>
      <c r="B42" s="355"/>
      <c r="C42" s="355"/>
      <c r="D42" s="355"/>
      <c r="E42" s="355"/>
    </row>
    <row r="43" spans="1:5" ht="56.25" customHeight="1" x14ac:dyDescent="0.3">
      <c r="A43" s="355" t="s">
        <v>1613</v>
      </c>
      <c r="B43" s="355"/>
      <c r="C43" s="355"/>
      <c r="D43" s="355"/>
      <c r="E43" s="355"/>
    </row>
    <row r="44" spans="1:5" ht="19.5" customHeight="1" x14ac:dyDescent="0.3">
      <c r="A44" s="370" t="s">
        <v>1614</v>
      </c>
      <c r="B44" s="370"/>
      <c r="C44" s="370"/>
      <c r="D44" s="370"/>
      <c r="E44" s="370"/>
    </row>
    <row r="45" spans="1:5" ht="33" customHeight="1" x14ac:dyDescent="0.3">
      <c r="A45" s="271" t="s">
        <v>197</v>
      </c>
      <c r="B45" s="272" t="s">
        <v>1615</v>
      </c>
      <c r="C45" s="372" t="s">
        <v>1616</v>
      </c>
      <c r="D45" s="372"/>
      <c r="E45" s="372"/>
    </row>
    <row r="46" spans="1:5" ht="17.25" customHeight="1" x14ac:dyDescent="0.3">
      <c r="A46" s="45" t="s">
        <v>1617</v>
      </c>
      <c r="B46" s="46" t="s">
        <v>1618</v>
      </c>
      <c r="C46" s="373" t="s">
        <v>1619</v>
      </c>
      <c r="D46" s="373"/>
      <c r="E46" s="373"/>
    </row>
    <row r="47" spans="1:5" ht="38.25" customHeight="1" x14ac:dyDescent="0.3">
      <c r="A47" s="374" t="s">
        <v>1620</v>
      </c>
      <c r="B47" s="374"/>
      <c r="C47" s="374"/>
      <c r="D47" s="374"/>
      <c r="E47" s="374"/>
    </row>
    <row r="48" spans="1:5" ht="19.5" customHeight="1" x14ac:dyDescent="0.3">
      <c r="A48" s="370" t="s">
        <v>1621</v>
      </c>
      <c r="B48" s="370"/>
      <c r="C48" s="370"/>
      <c r="D48" s="370"/>
      <c r="E48" s="370"/>
    </row>
    <row r="49" spans="1:5" ht="17.25" customHeight="1" x14ac:dyDescent="0.3">
      <c r="A49" s="271" t="s">
        <v>197</v>
      </c>
      <c r="B49" s="272" t="s">
        <v>1493</v>
      </c>
      <c r="C49" s="272" t="s">
        <v>1494</v>
      </c>
      <c r="D49" s="372" t="s">
        <v>1495</v>
      </c>
      <c r="E49" s="372"/>
    </row>
    <row r="50" spans="1:5" ht="17.25" customHeight="1" x14ac:dyDescent="0.3">
      <c r="A50" s="45" t="s">
        <v>1622</v>
      </c>
      <c r="B50" s="46" t="s">
        <v>1623</v>
      </c>
      <c r="C50" s="46" t="s">
        <v>1624</v>
      </c>
      <c r="D50" s="373" t="s">
        <v>1625</v>
      </c>
      <c r="E50" s="373"/>
    </row>
    <row r="51" spans="1:5" ht="17.25" customHeight="1" x14ac:dyDescent="0.3">
      <c r="A51" s="45" t="s">
        <v>1626</v>
      </c>
      <c r="B51" s="46" t="s">
        <v>1627</v>
      </c>
      <c r="C51" s="46" t="s">
        <v>1628</v>
      </c>
      <c r="D51" s="373" t="s">
        <v>1629</v>
      </c>
      <c r="E51" s="373"/>
    </row>
    <row r="52" spans="1:5" ht="17.25" customHeight="1" x14ac:dyDescent="0.3">
      <c r="A52" s="45" t="s">
        <v>1630</v>
      </c>
      <c r="B52" s="46" t="s">
        <v>1631</v>
      </c>
      <c r="C52" s="46" t="s">
        <v>1360</v>
      </c>
      <c r="D52" s="373" t="s">
        <v>1628</v>
      </c>
      <c r="E52" s="373"/>
    </row>
    <row r="53" spans="1:5" ht="33" customHeight="1" x14ac:dyDescent="0.3">
      <c r="A53" s="45" t="s">
        <v>1632</v>
      </c>
      <c r="B53" s="46" t="s">
        <v>1354</v>
      </c>
      <c r="C53" s="46" t="s">
        <v>1627</v>
      </c>
      <c r="D53" s="373" t="s">
        <v>1633</v>
      </c>
      <c r="E53" s="373"/>
    </row>
    <row r="54" spans="1:5" ht="38.25" customHeight="1" x14ac:dyDescent="0.3">
      <c r="A54" s="374" t="s">
        <v>1634</v>
      </c>
      <c r="B54" s="374"/>
      <c r="C54" s="374"/>
      <c r="D54" s="374"/>
      <c r="E54" s="374"/>
    </row>
    <row r="55" spans="1:5" ht="19.5" customHeight="1" x14ac:dyDescent="0.3">
      <c r="A55" s="370" t="s">
        <v>1635</v>
      </c>
      <c r="B55" s="370"/>
      <c r="C55" s="370"/>
      <c r="D55" s="370"/>
      <c r="E55" s="370"/>
    </row>
    <row r="56" spans="1:5" ht="17.25" customHeight="1" x14ac:dyDescent="0.3">
      <c r="A56" s="271" t="s">
        <v>197</v>
      </c>
      <c r="B56" s="272" t="s">
        <v>1493</v>
      </c>
      <c r="C56" s="272" t="s">
        <v>1494</v>
      </c>
      <c r="D56" s="372" t="s">
        <v>1495</v>
      </c>
      <c r="E56" s="372"/>
    </row>
    <row r="57" spans="1:5" ht="17.25" customHeight="1" x14ac:dyDescent="0.3">
      <c r="A57" s="45" t="s">
        <v>1636</v>
      </c>
      <c r="B57" s="46" t="s">
        <v>1629</v>
      </c>
      <c r="C57" s="46" t="s">
        <v>1637</v>
      </c>
      <c r="D57" s="373" t="s">
        <v>1625</v>
      </c>
      <c r="E57" s="373"/>
    </row>
    <row r="58" spans="1:5" ht="17.25" customHeight="1" x14ac:dyDescent="0.3">
      <c r="A58" s="45" t="s">
        <v>17</v>
      </c>
      <c r="B58" s="46" t="s">
        <v>1354</v>
      </c>
      <c r="C58" s="46" t="s">
        <v>1627</v>
      </c>
      <c r="D58" s="373" t="s">
        <v>1633</v>
      </c>
      <c r="E58" s="373"/>
    </row>
    <row r="59" spans="1:5" ht="19.5" customHeight="1" x14ac:dyDescent="0.3">
      <c r="A59" s="370" t="s">
        <v>1638</v>
      </c>
      <c r="B59" s="370"/>
      <c r="C59" s="370"/>
      <c r="D59" s="370"/>
      <c r="E59" s="370"/>
    </row>
    <row r="60" spans="1:5" ht="17.25" customHeight="1" x14ac:dyDescent="0.3">
      <c r="A60" s="271" t="s">
        <v>197</v>
      </c>
      <c r="B60" s="272" t="s">
        <v>1493</v>
      </c>
      <c r="C60" s="272" t="s">
        <v>1494</v>
      </c>
      <c r="D60" s="372" t="s">
        <v>1495</v>
      </c>
      <c r="E60" s="372"/>
    </row>
    <row r="61" spans="1:5" ht="17.25" customHeight="1" x14ac:dyDescent="0.3">
      <c r="A61" s="45" t="s">
        <v>1639</v>
      </c>
      <c r="B61" s="46" t="s">
        <v>1623</v>
      </c>
      <c r="C61" s="46" t="s">
        <v>1624</v>
      </c>
      <c r="D61" s="373" t="s">
        <v>1625</v>
      </c>
      <c r="E61" s="373"/>
    </row>
    <row r="62" spans="1:5" ht="33" customHeight="1" x14ac:dyDescent="0.3">
      <c r="A62" s="45" t="s">
        <v>1640</v>
      </c>
      <c r="B62" s="46" t="s">
        <v>1631</v>
      </c>
      <c r="C62" s="46" t="s">
        <v>1627</v>
      </c>
      <c r="D62" s="373" t="s">
        <v>1641</v>
      </c>
      <c r="E62" s="373"/>
    </row>
    <row r="63" spans="1:5" ht="33" customHeight="1" x14ac:dyDescent="0.3">
      <c r="A63" s="45" t="s">
        <v>1642</v>
      </c>
      <c r="B63" s="46" t="s">
        <v>1354</v>
      </c>
      <c r="C63" s="46" t="s">
        <v>1357</v>
      </c>
      <c r="D63" s="373" t="s">
        <v>1360</v>
      </c>
      <c r="E63" s="373"/>
    </row>
    <row r="64" spans="1:5" ht="38.25" customHeight="1" x14ac:dyDescent="0.3">
      <c r="A64" s="374" t="s">
        <v>1643</v>
      </c>
      <c r="B64" s="374"/>
      <c r="C64" s="374"/>
      <c r="D64" s="374"/>
      <c r="E64" s="374"/>
    </row>
    <row r="65" spans="1:5" ht="19.5" customHeight="1" x14ac:dyDescent="0.3">
      <c r="A65" s="370" t="s">
        <v>1644</v>
      </c>
      <c r="B65" s="370"/>
      <c r="C65" s="370"/>
      <c r="D65" s="370"/>
      <c r="E65" s="370"/>
    </row>
    <row r="66" spans="1:5" ht="17.25" customHeight="1" x14ac:dyDescent="0.3">
      <c r="A66" s="271" t="s">
        <v>197</v>
      </c>
      <c r="B66" s="272" t="s">
        <v>1493</v>
      </c>
      <c r="C66" s="272" t="s">
        <v>1494</v>
      </c>
      <c r="D66" s="372" t="s">
        <v>1495</v>
      </c>
      <c r="E66" s="372"/>
    </row>
    <row r="67" spans="1:5" ht="17.25" customHeight="1" x14ac:dyDescent="0.3">
      <c r="A67" s="45" t="s">
        <v>1645</v>
      </c>
      <c r="B67" s="46" t="s">
        <v>1646</v>
      </c>
      <c r="C67" s="46" t="s">
        <v>1647</v>
      </c>
      <c r="D67" s="373" t="s">
        <v>1625</v>
      </c>
      <c r="E67" s="373"/>
    </row>
    <row r="68" spans="1:5" ht="17.25" customHeight="1" x14ac:dyDescent="0.3">
      <c r="A68" s="45" t="s">
        <v>1648</v>
      </c>
      <c r="B68" s="46" t="s">
        <v>1631</v>
      </c>
      <c r="C68" s="46" t="s">
        <v>1360</v>
      </c>
      <c r="D68" s="373" t="s">
        <v>1628</v>
      </c>
      <c r="E68" s="373"/>
    </row>
    <row r="69" spans="1:5" ht="19.5" customHeight="1" x14ac:dyDescent="0.3">
      <c r="A69" s="370" t="s">
        <v>1649</v>
      </c>
      <c r="B69" s="370"/>
      <c r="C69" s="370"/>
      <c r="D69" s="370"/>
      <c r="E69" s="370"/>
    </row>
    <row r="70" spans="1:5" ht="17.25" customHeight="1" x14ac:dyDescent="0.3">
      <c r="A70" s="271" t="s">
        <v>197</v>
      </c>
      <c r="B70" s="272" t="s">
        <v>1493</v>
      </c>
      <c r="C70" s="272" t="s">
        <v>1494</v>
      </c>
      <c r="D70" s="372" t="s">
        <v>1495</v>
      </c>
      <c r="E70" s="372"/>
    </row>
    <row r="71" spans="1:5" ht="17.25" customHeight="1" x14ac:dyDescent="0.3">
      <c r="A71" s="45" t="s">
        <v>1650</v>
      </c>
      <c r="B71" s="46" t="s">
        <v>1629</v>
      </c>
      <c r="C71" s="46" t="s">
        <v>1637</v>
      </c>
      <c r="D71" s="373" t="s">
        <v>1625</v>
      </c>
      <c r="E71" s="373"/>
    </row>
    <row r="72" spans="1:5" ht="33" customHeight="1" x14ac:dyDescent="0.3">
      <c r="A72" s="45" t="s">
        <v>1651</v>
      </c>
      <c r="B72" s="46" t="s">
        <v>1354</v>
      </c>
      <c r="C72" s="46" t="s">
        <v>1627</v>
      </c>
      <c r="D72" s="373" t="s">
        <v>1633</v>
      </c>
      <c r="E72" s="373"/>
    </row>
    <row r="73" spans="1:5" ht="19.5" customHeight="1" x14ac:dyDescent="0.3">
      <c r="A73" s="370" t="s">
        <v>1652</v>
      </c>
      <c r="B73" s="370"/>
      <c r="C73" s="370"/>
      <c r="D73" s="370"/>
      <c r="E73" s="370"/>
    </row>
    <row r="74" spans="1:5" ht="17.25" customHeight="1" x14ac:dyDescent="0.3">
      <c r="A74" s="271" t="s">
        <v>197</v>
      </c>
      <c r="B74" s="272" t="s">
        <v>1493</v>
      </c>
      <c r="C74" s="272" t="s">
        <v>1494</v>
      </c>
      <c r="D74" s="372" t="s">
        <v>1495</v>
      </c>
      <c r="E74" s="372"/>
    </row>
    <row r="75" spans="1:5" ht="17.25" customHeight="1" x14ac:dyDescent="0.3">
      <c r="A75" s="45" t="s">
        <v>1653</v>
      </c>
      <c r="B75" s="46" t="s">
        <v>1629</v>
      </c>
      <c r="C75" s="46" t="s">
        <v>1637</v>
      </c>
      <c r="D75" s="373" t="s">
        <v>1625</v>
      </c>
      <c r="E75" s="373"/>
    </row>
    <row r="76" spans="1:5" ht="33" customHeight="1" x14ac:dyDescent="0.3">
      <c r="A76" s="45" t="s">
        <v>1654</v>
      </c>
      <c r="B76" s="46" t="s">
        <v>1354</v>
      </c>
      <c r="C76" s="46" t="s">
        <v>1627</v>
      </c>
      <c r="D76" s="373" t="s">
        <v>1633</v>
      </c>
      <c r="E76" s="373"/>
    </row>
    <row r="77" spans="1:5" ht="19.5" customHeight="1" x14ac:dyDescent="0.3">
      <c r="A77" s="349" t="s">
        <v>1383</v>
      </c>
      <c r="B77" s="349"/>
      <c r="C77" s="349"/>
      <c r="D77" s="349"/>
      <c r="E77" s="349"/>
    </row>
    <row r="78" spans="1:5" ht="19.5" customHeight="1" x14ac:dyDescent="0.3">
      <c r="A78" s="349" t="s">
        <v>1416</v>
      </c>
      <c r="B78" s="349"/>
      <c r="C78" s="349"/>
      <c r="D78" s="349"/>
      <c r="E78" s="349"/>
    </row>
    <row r="79" spans="1:5" ht="19.5" customHeight="1" x14ac:dyDescent="0.3">
      <c r="A79" s="370" t="s">
        <v>1655</v>
      </c>
      <c r="B79" s="370"/>
      <c r="C79" s="370"/>
      <c r="D79" s="370"/>
      <c r="E79" s="370"/>
    </row>
    <row r="80" spans="1:5" ht="17.25" customHeight="1" x14ac:dyDescent="0.3">
      <c r="A80" s="271" t="s">
        <v>197</v>
      </c>
      <c r="B80" s="372" t="s">
        <v>1656</v>
      </c>
      <c r="C80" s="372"/>
      <c r="D80" s="372"/>
      <c r="E80" s="372"/>
    </row>
    <row r="81" spans="1:5" ht="17.25" customHeight="1" x14ac:dyDescent="0.3">
      <c r="A81" s="45" t="s">
        <v>1617</v>
      </c>
      <c r="B81" s="373" t="s">
        <v>1657</v>
      </c>
      <c r="C81" s="373"/>
      <c r="D81" s="373"/>
      <c r="E81" s="373"/>
    </row>
    <row r="82" spans="1:5" ht="17.25" customHeight="1" x14ac:dyDescent="0.3">
      <c r="A82" s="45" t="s">
        <v>1622</v>
      </c>
      <c r="B82" s="373" t="s">
        <v>1658</v>
      </c>
      <c r="C82" s="373"/>
      <c r="D82" s="373"/>
      <c r="E82" s="373"/>
    </row>
    <row r="83" spans="1:5" ht="48.75" customHeight="1" x14ac:dyDescent="0.3">
      <c r="A83" s="45" t="s">
        <v>1659</v>
      </c>
      <c r="B83" s="373" t="s">
        <v>1660</v>
      </c>
      <c r="C83" s="373"/>
      <c r="D83" s="373"/>
      <c r="E83" s="373"/>
    </row>
    <row r="84" spans="1:5" ht="19.5" customHeight="1" x14ac:dyDescent="0.3">
      <c r="A84" s="370" t="s">
        <v>1661</v>
      </c>
      <c r="B84" s="370"/>
      <c r="C84" s="370"/>
      <c r="D84" s="370"/>
      <c r="E84" s="370"/>
    </row>
    <row r="85" spans="1:5" ht="17.25" customHeight="1" x14ac:dyDescent="0.3">
      <c r="A85" s="271" t="s">
        <v>1419</v>
      </c>
      <c r="B85" s="272" t="s">
        <v>1420</v>
      </c>
      <c r="C85" s="372" t="s">
        <v>1662</v>
      </c>
      <c r="D85" s="372"/>
      <c r="E85" s="372"/>
    </row>
    <row r="86" spans="1:5" ht="17.25" customHeight="1" x14ac:dyDescent="0.3">
      <c r="A86" s="45" t="s">
        <v>206</v>
      </c>
      <c r="B86" s="46" t="s">
        <v>1663</v>
      </c>
      <c r="C86" s="373" t="s">
        <v>1664</v>
      </c>
      <c r="D86" s="373"/>
      <c r="E86" s="373"/>
    </row>
    <row r="87" spans="1:5" ht="48.75" customHeight="1" x14ac:dyDescent="0.3">
      <c r="A87" s="45" t="s">
        <v>208</v>
      </c>
      <c r="B87" s="46" t="s">
        <v>1665</v>
      </c>
      <c r="C87" s="373" t="s">
        <v>1666</v>
      </c>
      <c r="D87" s="373"/>
      <c r="E87" s="373"/>
    </row>
    <row r="88" spans="1:5" ht="17.25" customHeight="1" x14ac:dyDescent="0.3">
      <c r="A88" s="45" t="s">
        <v>1667</v>
      </c>
      <c r="B88" s="46" t="s">
        <v>1668</v>
      </c>
      <c r="C88" s="373" t="s">
        <v>1664</v>
      </c>
      <c r="D88" s="373"/>
      <c r="E88" s="373"/>
    </row>
    <row r="89" spans="1:5" ht="63.75" customHeight="1" x14ac:dyDescent="0.3">
      <c r="A89" s="45" t="s">
        <v>1669</v>
      </c>
      <c r="B89" s="46" t="s">
        <v>1670</v>
      </c>
      <c r="C89" s="373" t="s">
        <v>1671</v>
      </c>
      <c r="D89" s="373"/>
      <c r="E89" s="373"/>
    </row>
    <row r="90" spans="1:5" ht="38.25" customHeight="1" x14ac:dyDescent="0.3">
      <c r="A90" s="374" t="s">
        <v>1672</v>
      </c>
      <c r="B90" s="374"/>
      <c r="C90" s="374"/>
      <c r="D90" s="374"/>
      <c r="E90" s="374"/>
    </row>
    <row r="91" spans="1:5" ht="19.5" customHeight="1" x14ac:dyDescent="0.3">
      <c r="A91" s="349" t="s">
        <v>1415</v>
      </c>
      <c r="B91" s="349"/>
      <c r="C91" s="349"/>
      <c r="D91" s="349"/>
      <c r="E91" s="349"/>
    </row>
    <row r="92" spans="1:5" ht="19.5" customHeight="1" x14ac:dyDescent="0.3">
      <c r="A92" s="349" t="s">
        <v>1673</v>
      </c>
      <c r="B92" s="349"/>
      <c r="C92" s="349"/>
      <c r="D92" s="349"/>
      <c r="E92" s="349"/>
    </row>
    <row r="93" spans="1:5" ht="19.5" customHeight="1" x14ac:dyDescent="0.3">
      <c r="A93" s="370" t="s">
        <v>1674</v>
      </c>
      <c r="B93" s="370"/>
      <c r="C93" s="370"/>
      <c r="D93" s="370"/>
      <c r="E93" s="370"/>
    </row>
    <row r="94" spans="1:5" ht="74.25" customHeight="1" x14ac:dyDescent="0.3">
      <c r="A94" s="371" t="s">
        <v>1675</v>
      </c>
      <c r="B94" s="371"/>
      <c r="C94" s="371"/>
      <c r="D94" s="371"/>
      <c r="E94" s="371"/>
    </row>
    <row r="95" spans="1:5" ht="33" customHeight="1" x14ac:dyDescent="0.3">
      <c r="A95" s="271" t="s">
        <v>1676</v>
      </c>
      <c r="B95" s="372" t="s">
        <v>1677</v>
      </c>
      <c r="C95" s="372"/>
      <c r="D95" s="372"/>
      <c r="E95" s="372"/>
    </row>
    <row r="96" spans="1:5" ht="17.25" customHeight="1" x14ac:dyDescent="0.3">
      <c r="A96" s="45" t="s">
        <v>1678</v>
      </c>
      <c r="B96" s="373" t="s">
        <v>1679</v>
      </c>
      <c r="C96" s="373"/>
      <c r="D96" s="373"/>
      <c r="E96" s="373"/>
    </row>
    <row r="97" spans="1:5" ht="33" customHeight="1" x14ac:dyDescent="0.3">
      <c r="A97" s="45" t="s">
        <v>1680</v>
      </c>
      <c r="B97" s="373" t="s">
        <v>1408</v>
      </c>
      <c r="C97" s="373"/>
      <c r="D97" s="373"/>
      <c r="E97" s="373"/>
    </row>
    <row r="98" spans="1:5" ht="17.25" customHeight="1" x14ac:dyDescent="0.3">
      <c r="A98" s="45" t="s">
        <v>1681</v>
      </c>
      <c r="B98" s="373" t="s">
        <v>1682</v>
      </c>
      <c r="C98" s="373"/>
      <c r="D98" s="373"/>
      <c r="E98" s="373"/>
    </row>
    <row r="99" spans="1:5" ht="56.25" customHeight="1" x14ac:dyDescent="0.3">
      <c r="A99" s="374" t="s">
        <v>1683</v>
      </c>
      <c r="B99" s="374"/>
      <c r="C99" s="374"/>
      <c r="D99" s="374"/>
      <c r="E99" s="374"/>
    </row>
    <row r="100" spans="1:5" ht="19.5" customHeight="1" x14ac:dyDescent="0.3">
      <c r="A100" s="370" t="s">
        <v>1684</v>
      </c>
      <c r="B100" s="370"/>
      <c r="C100" s="370"/>
      <c r="D100" s="370"/>
      <c r="E100" s="370"/>
    </row>
    <row r="101" spans="1:5" ht="38.25" customHeight="1" x14ac:dyDescent="0.3">
      <c r="A101" s="371" t="s">
        <v>1685</v>
      </c>
      <c r="B101" s="371"/>
      <c r="C101" s="371"/>
      <c r="D101" s="371"/>
      <c r="E101" s="371"/>
    </row>
    <row r="102" spans="1:5" ht="17.25" customHeight="1" x14ac:dyDescent="0.3">
      <c r="A102" s="271" t="s">
        <v>1686</v>
      </c>
      <c r="B102" s="372" t="s">
        <v>1687</v>
      </c>
      <c r="C102" s="372"/>
      <c r="D102" s="372"/>
      <c r="E102" s="372"/>
    </row>
    <row r="103" spans="1:5" ht="33" customHeight="1" x14ac:dyDescent="0.3">
      <c r="A103" s="45" t="s">
        <v>1688</v>
      </c>
      <c r="B103" s="373" t="s">
        <v>1689</v>
      </c>
      <c r="C103" s="373"/>
      <c r="D103" s="373"/>
      <c r="E103" s="373"/>
    </row>
    <row r="104" spans="1:5" ht="17.25" customHeight="1" x14ac:dyDescent="0.3">
      <c r="A104" s="45" t="s">
        <v>1690</v>
      </c>
      <c r="B104" s="373" t="s">
        <v>1691</v>
      </c>
      <c r="C104" s="373"/>
      <c r="D104" s="373"/>
      <c r="E104" s="373"/>
    </row>
    <row r="105" spans="1:5" ht="19.5" customHeight="1" x14ac:dyDescent="0.3">
      <c r="A105" s="371" t="s">
        <v>1692</v>
      </c>
      <c r="B105" s="371"/>
      <c r="C105" s="371"/>
      <c r="D105" s="371"/>
      <c r="E105" s="371"/>
    </row>
    <row r="106" spans="1:5" ht="17.25" customHeight="1" x14ac:dyDescent="0.3">
      <c r="A106" s="271" t="s">
        <v>1693</v>
      </c>
      <c r="B106" s="372" t="s">
        <v>1694</v>
      </c>
      <c r="C106" s="372"/>
      <c r="D106" s="372"/>
      <c r="E106" s="372"/>
    </row>
    <row r="107" spans="1:5" ht="17.25" customHeight="1" x14ac:dyDescent="0.3">
      <c r="A107" s="45" t="s">
        <v>1695</v>
      </c>
      <c r="B107" s="375" t="s">
        <v>1696</v>
      </c>
      <c r="C107" s="375"/>
      <c r="D107" s="375"/>
      <c r="E107" s="375"/>
    </row>
    <row r="108" spans="1:5" ht="17.25" customHeight="1" x14ac:dyDescent="0.3">
      <c r="A108" s="45" t="s">
        <v>1697</v>
      </c>
      <c r="B108" s="375" t="s">
        <v>1698</v>
      </c>
      <c r="C108" s="375"/>
      <c r="D108" s="375"/>
      <c r="E108" s="375"/>
    </row>
    <row r="109" spans="1:5" ht="17.25" customHeight="1" x14ac:dyDescent="0.3">
      <c r="A109" s="45" t="s">
        <v>1699</v>
      </c>
      <c r="B109" s="375" t="s">
        <v>1700</v>
      </c>
      <c r="C109" s="375"/>
      <c r="D109" s="375"/>
      <c r="E109" s="375"/>
    </row>
    <row r="110" spans="1:5" ht="17.25" customHeight="1" x14ac:dyDescent="0.3">
      <c r="A110" s="45" t="s">
        <v>1701</v>
      </c>
      <c r="B110" s="373" t="s">
        <v>1702</v>
      </c>
      <c r="C110" s="373"/>
      <c r="D110" s="373"/>
      <c r="E110" s="373"/>
    </row>
    <row r="111" spans="1:5" ht="92.25" customHeight="1" x14ac:dyDescent="0.3">
      <c r="A111" s="374" t="s">
        <v>1703</v>
      </c>
      <c r="B111" s="374"/>
      <c r="C111" s="374"/>
      <c r="D111" s="374"/>
      <c r="E111" s="374"/>
    </row>
    <row r="112" spans="1:5" ht="19.5" customHeight="1" x14ac:dyDescent="0.3">
      <c r="A112" s="370" t="s">
        <v>1704</v>
      </c>
      <c r="B112" s="370"/>
      <c r="C112" s="370"/>
      <c r="D112" s="370"/>
      <c r="E112" s="370"/>
    </row>
    <row r="113" spans="1:5" ht="56.25" customHeight="1" x14ac:dyDescent="0.3">
      <c r="A113" s="371" t="s">
        <v>1705</v>
      </c>
      <c r="B113" s="371"/>
      <c r="C113" s="371"/>
      <c r="D113" s="371"/>
      <c r="E113" s="371"/>
    </row>
    <row r="114" spans="1:5" ht="19.5" customHeight="1" x14ac:dyDescent="0.3">
      <c r="A114" s="349" t="s">
        <v>1438</v>
      </c>
      <c r="B114" s="349"/>
      <c r="C114" s="349"/>
      <c r="D114" s="349"/>
      <c r="E114" s="349"/>
    </row>
    <row r="115" spans="1:5" ht="19.5" customHeight="1" x14ac:dyDescent="0.3">
      <c r="A115" s="349" t="s">
        <v>1446</v>
      </c>
      <c r="B115" s="349"/>
      <c r="C115" s="349"/>
      <c r="D115" s="349"/>
      <c r="E115" s="349"/>
    </row>
    <row r="116" spans="1:5" ht="19.5" customHeight="1" x14ac:dyDescent="0.3">
      <c r="A116" s="370" t="s">
        <v>1706</v>
      </c>
      <c r="B116" s="370"/>
      <c r="C116" s="370"/>
      <c r="D116" s="370"/>
      <c r="E116" s="370"/>
    </row>
    <row r="117" spans="1:5" ht="56.25" customHeight="1" x14ac:dyDescent="0.3">
      <c r="A117" s="355" t="s">
        <v>1707</v>
      </c>
      <c r="B117" s="355"/>
      <c r="C117" s="355"/>
      <c r="D117" s="355"/>
      <c r="E117" s="355"/>
    </row>
    <row r="118" spans="1:5" ht="38.25" customHeight="1" x14ac:dyDescent="0.3">
      <c r="A118" s="355" t="s">
        <v>1708</v>
      </c>
      <c r="B118" s="355"/>
      <c r="C118" s="355"/>
      <c r="D118" s="355"/>
      <c r="E118" s="355"/>
    </row>
    <row r="119" spans="1:5" ht="74.25" customHeight="1" x14ac:dyDescent="0.3">
      <c r="A119" s="355" t="s">
        <v>1709</v>
      </c>
      <c r="B119" s="355"/>
      <c r="C119" s="355"/>
      <c r="D119" s="355"/>
      <c r="E119" s="355"/>
    </row>
    <row r="120" spans="1:5" ht="56.25" customHeight="1" x14ac:dyDescent="0.3">
      <c r="A120" s="355" t="s">
        <v>1710</v>
      </c>
      <c r="B120" s="355"/>
      <c r="C120" s="355"/>
      <c r="D120" s="355"/>
      <c r="E120" s="355"/>
    </row>
    <row r="121" spans="1:5" ht="19.5" customHeight="1" x14ac:dyDescent="0.3">
      <c r="A121" s="370" t="s">
        <v>1711</v>
      </c>
      <c r="B121" s="370"/>
      <c r="C121" s="370"/>
      <c r="D121" s="370"/>
      <c r="E121" s="370"/>
    </row>
    <row r="122" spans="1:5" ht="110.25" customHeight="1" x14ac:dyDescent="0.3">
      <c r="A122" s="371" t="s">
        <v>1453</v>
      </c>
      <c r="B122" s="371"/>
      <c r="C122" s="371"/>
      <c r="D122" s="371"/>
      <c r="E122" s="371"/>
    </row>
    <row r="123" spans="1:5" ht="19.5" customHeight="1" x14ac:dyDescent="0.3">
      <c r="A123" s="349" t="s">
        <v>1445</v>
      </c>
      <c r="B123" s="349"/>
      <c r="C123" s="349"/>
      <c r="D123" s="349"/>
      <c r="E123" s="349"/>
    </row>
    <row r="124" spans="1:5" ht="19.5" customHeight="1" x14ac:dyDescent="0.3">
      <c r="A124" s="349" t="s">
        <v>1712</v>
      </c>
      <c r="B124" s="349"/>
      <c r="C124" s="349"/>
      <c r="D124" s="349"/>
      <c r="E124" s="349"/>
    </row>
    <row r="125" spans="1:5" ht="19.5" customHeight="1" x14ac:dyDescent="0.3">
      <c r="A125" s="370" t="s">
        <v>1713</v>
      </c>
      <c r="B125" s="370"/>
      <c r="C125" s="370"/>
      <c r="D125" s="370"/>
      <c r="E125" s="370"/>
    </row>
    <row r="126" spans="1:5" ht="74.25" customHeight="1" x14ac:dyDescent="0.3">
      <c r="A126" s="355" t="s">
        <v>1714</v>
      </c>
      <c r="B126" s="355"/>
      <c r="C126" s="355"/>
      <c r="D126" s="355"/>
      <c r="E126" s="355"/>
    </row>
    <row r="127" spans="1:5" ht="56.25" customHeight="1" x14ac:dyDescent="0.3">
      <c r="A127" s="355" t="s">
        <v>1715</v>
      </c>
      <c r="B127" s="355"/>
      <c r="C127" s="355"/>
      <c r="D127" s="355"/>
      <c r="E127" s="355"/>
    </row>
    <row r="128" spans="1:5" ht="19.5" customHeight="1" x14ac:dyDescent="0.3">
      <c r="A128" s="349" t="s">
        <v>1454</v>
      </c>
      <c r="B128" s="349"/>
      <c r="C128" s="349"/>
      <c r="D128" s="349"/>
      <c r="E128" s="349"/>
    </row>
    <row r="129" spans="1:5" ht="19.5" customHeight="1" x14ac:dyDescent="0.3">
      <c r="A129" s="349" t="s">
        <v>1455</v>
      </c>
      <c r="B129" s="349"/>
      <c r="C129" s="349"/>
      <c r="D129" s="349"/>
      <c r="E129" s="349"/>
    </row>
    <row r="130" spans="1:5" ht="19.5" customHeight="1" x14ac:dyDescent="0.3">
      <c r="A130" s="370" t="s">
        <v>1716</v>
      </c>
      <c r="B130" s="370"/>
      <c r="C130" s="370"/>
      <c r="D130" s="370"/>
      <c r="E130" s="370"/>
    </row>
    <row r="131" spans="1:5" ht="19.5" customHeight="1" x14ac:dyDescent="0.3">
      <c r="A131" s="355" t="s">
        <v>1717</v>
      </c>
      <c r="B131" s="355"/>
      <c r="C131" s="355"/>
      <c r="D131" s="355"/>
      <c r="E131" s="355"/>
    </row>
    <row r="132" spans="1:5" ht="38.25" customHeight="1" x14ac:dyDescent="0.3">
      <c r="A132" s="355" t="s">
        <v>1718</v>
      </c>
      <c r="B132" s="355"/>
      <c r="C132" s="355"/>
      <c r="D132" s="355"/>
      <c r="E132" s="355"/>
    </row>
    <row r="133" spans="1:5" ht="38.25" customHeight="1" x14ac:dyDescent="0.3">
      <c r="A133" s="355" t="s">
        <v>1719</v>
      </c>
      <c r="B133" s="355"/>
      <c r="C133" s="355"/>
      <c r="D133" s="355"/>
      <c r="E133" s="355"/>
    </row>
    <row r="134" spans="1:5" ht="38.25" customHeight="1" x14ac:dyDescent="0.3">
      <c r="A134" s="370" t="s">
        <v>1720</v>
      </c>
      <c r="B134" s="370"/>
      <c r="C134" s="370"/>
      <c r="D134" s="370"/>
      <c r="E134" s="370"/>
    </row>
    <row r="135" spans="1:5" ht="19.5" customHeight="1" x14ac:dyDescent="0.3">
      <c r="A135" s="370" t="s">
        <v>1721</v>
      </c>
      <c r="B135" s="370"/>
      <c r="C135" s="370"/>
      <c r="D135" s="370"/>
      <c r="E135" s="370"/>
    </row>
    <row r="136" spans="1:5" ht="19.5" customHeight="1" x14ac:dyDescent="0.3">
      <c r="A136" s="355" t="s">
        <v>1722</v>
      </c>
      <c r="B136" s="355"/>
      <c r="C136" s="355"/>
      <c r="D136" s="355"/>
      <c r="E136" s="355"/>
    </row>
    <row r="137" spans="1:5" ht="56.25" customHeight="1" x14ac:dyDescent="0.3">
      <c r="A137" s="355" t="s">
        <v>1723</v>
      </c>
      <c r="B137" s="355"/>
      <c r="C137" s="355"/>
      <c r="D137" s="355"/>
      <c r="E137" s="355"/>
    </row>
    <row r="138" spans="1:5" ht="38.25" customHeight="1" x14ac:dyDescent="0.3">
      <c r="A138" s="355" t="s">
        <v>1724</v>
      </c>
      <c r="B138" s="355"/>
      <c r="C138" s="355"/>
      <c r="D138" s="355"/>
      <c r="E138" s="355"/>
    </row>
    <row r="139" spans="1:5" ht="38.25" customHeight="1" x14ac:dyDescent="0.3">
      <c r="A139" s="370" t="s">
        <v>1725</v>
      </c>
      <c r="B139" s="370"/>
      <c r="C139" s="370"/>
      <c r="D139" s="370"/>
      <c r="E139" s="370"/>
    </row>
    <row r="140" spans="1:5" ht="19.5" customHeight="1" x14ac:dyDescent="0.3">
      <c r="A140" s="370" t="s">
        <v>1726</v>
      </c>
      <c r="B140" s="370"/>
      <c r="C140" s="370"/>
      <c r="D140" s="370"/>
      <c r="E140" s="370"/>
    </row>
    <row r="141" spans="1:5" ht="19.5" customHeight="1" x14ac:dyDescent="0.3">
      <c r="A141" s="355" t="s">
        <v>1727</v>
      </c>
      <c r="B141" s="355"/>
      <c r="C141" s="355"/>
      <c r="D141" s="355"/>
      <c r="E141" s="355"/>
    </row>
    <row r="142" spans="1:5" ht="38.25" customHeight="1" x14ac:dyDescent="0.3">
      <c r="A142" s="355" t="s">
        <v>1728</v>
      </c>
      <c r="B142" s="355"/>
      <c r="C142" s="355"/>
      <c r="D142" s="355"/>
      <c r="E142" s="355"/>
    </row>
    <row r="143" spans="1:5" ht="38.25" customHeight="1" x14ac:dyDescent="0.3">
      <c r="A143" s="355" t="s">
        <v>1729</v>
      </c>
      <c r="B143" s="355"/>
      <c r="C143" s="355"/>
      <c r="D143" s="355"/>
      <c r="E143" s="355"/>
    </row>
    <row r="144" spans="1:5" ht="38.25" customHeight="1" x14ac:dyDescent="0.3">
      <c r="A144" s="370" t="s">
        <v>1730</v>
      </c>
      <c r="B144" s="370"/>
      <c r="C144" s="370"/>
      <c r="D144" s="370"/>
      <c r="E144" s="370"/>
    </row>
    <row r="145" spans="1:5" ht="38.25" customHeight="1" x14ac:dyDescent="0.3">
      <c r="A145" s="374" t="s">
        <v>1731</v>
      </c>
      <c r="B145" s="374"/>
      <c r="C145" s="374"/>
      <c r="D145" s="374"/>
      <c r="E145" s="374"/>
    </row>
    <row r="146" spans="1:5" ht="19.5" customHeight="1" x14ac:dyDescent="0.3">
      <c r="A146" s="349" t="s">
        <v>1468</v>
      </c>
      <c r="B146" s="349"/>
      <c r="C146" s="349"/>
      <c r="D146" s="349"/>
      <c r="E146" s="349"/>
    </row>
    <row r="147" spans="1:5" ht="19.5" customHeight="1" x14ac:dyDescent="0.3">
      <c r="A147" s="349" t="s">
        <v>1469</v>
      </c>
      <c r="B147" s="349"/>
      <c r="C147" s="349"/>
      <c r="D147" s="349"/>
      <c r="E147" s="349"/>
    </row>
    <row r="148" spans="1:5" ht="19.5" customHeight="1" x14ac:dyDescent="0.3">
      <c r="A148" s="370" t="s">
        <v>1732</v>
      </c>
      <c r="B148" s="370"/>
      <c r="C148" s="370"/>
      <c r="D148" s="370"/>
      <c r="E148" s="370"/>
    </row>
    <row r="149" spans="1:5" ht="38.25" customHeight="1" x14ac:dyDescent="0.3">
      <c r="A149" s="355" t="s">
        <v>1471</v>
      </c>
      <c r="B149" s="355"/>
      <c r="C149" s="355"/>
      <c r="D149" s="355"/>
      <c r="E149" s="355"/>
    </row>
    <row r="150" spans="1:5" ht="74.25" customHeight="1" x14ac:dyDescent="0.3">
      <c r="A150" s="355" t="s">
        <v>1733</v>
      </c>
      <c r="B150" s="355"/>
      <c r="C150" s="355"/>
      <c r="D150" s="355"/>
      <c r="E150" s="355"/>
    </row>
    <row r="151" spans="1:5" ht="38.25" customHeight="1" x14ac:dyDescent="0.3">
      <c r="A151" s="355" t="s">
        <v>1473</v>
      </c>
      <c r="B151" s="355"/>
      <c r="C151" s="355"/>
      <c r="D151" s="355"/>
      <c r="E151" s="355"/>
    </row>
    <row r="152" spans="1:5" ht="19.5" customHeight="1" x14ac:dyDescent="0.3">
      <c r="A152" s="370" t="s">
        <v>1734</v>
      </c>
      <c r="B152" s="370"/>
      <c r="C152" s="370"/>
      <c r="D152" s="370"/>
      <c r="E152" s="370"/>
    </row>
    <row r="153" spans="1:5" ht="74.25" customHeight="1" x14ac:dyDescent="0.3">
      <c r="A153" s="371" t="s">
        <v>1735</v>
      </c>
      <c r="B153" s="371"/>
      <c r="C153" s="371"/>
      <c r="D153" s="371"/>
      <c r="E153" s="371"/>
    </row>
    <row r="154" spans="1:5" ht="7.5" customHeight="1" x14ac:dyDescent="0.3">
      <c r="A154" s="277"/>
    </row>
    <row r="155" spans="1:5" ht="19.5" customHeight="1" x14ac:dyDescent="0.3">
      <c r="A155" s="349" t="s">
        <v>1476</v>
      </c>
      <c r="B155" s="349"/>
      <c r="C155" s="349"/>
      <c r="D155" s="349"/>
      <c r="E155" s="349"/>
    </row>
    <row r="156" spans="1:5" ht="19.5" customHeight="1" x14ac:dyDescent="0.3">
      <c r="A156" s="349" t="s">
        <v>1477</v>
      </c>
      <c r="B156" s="349"/>
      <c r="C156" s="349"/>
      <c r="D156" s="349"/>
      <c r="E156" s="349"/>
    </row>
    <row r="157" spans="1:5" ht="19.5" customHeight="1" x14ac:dyDescent="0.3">
      <c r="A157" s="370" t="s">
        <v>1736</v>
      </c>
      <c r="B157" s="370"/>
      <c r="C157" s="370"/>
      <c r="D157" s="370"/>
      <c r="E157" s="370"/>
    </row>
    <row r="158" spans="1:5" ht="56.25" customHeight="1" x14ac:dyDescent="0.3">
      <c r="A158" s="371" t="s">
        <v>1737</v>
      </c>
      <c r="B158" s="371"/>
      <c r="C158" s="371"/>
      <c r="D158" s="371"/>
      <c r="E158" s="371"/>
    </row>
    <row r="159" spans="1:5" ht="19.5" customHeight="1" x14ac:dyDescent="0.3">
      <c r="A159" s="370" t="s">
        <v>1738</v>
      </c>
      <c r="B159" s="370"/>
      <c r="C159" s="370"/>
      <c r="D159" s="370"/>
      <c r="E159" s="370"/>
    </row>
    <row r="160" spans="1:5" ht="74.25" customHeight="1" x14ac:dyDescent="0.3">
      <c r="A160" s="355" t="s">
        <v>1481</v>
      </c>
      <c r="B160" s="355"/>
      <c r="C160" s="355"/>
      <c r="D160" s="355"/>
      <c r="E160" s="355"/>
    </row>
    <row r="161" spans="1:5" ht="56.25" customHeight="1" x14ac:dyDescent="0.3">
      <c r="A161" s="355" t="s">
        <v>1739</v>
      </c>
      <c r="B161" s="355"/>
      <c r="C161" s="355"/>
      <c r="D161" s="355"/>
      <c r="E161" s="355"/>
    </row>
    <row r="162" spans="1:5" ht="56.25" customHeight="1" x14ac:dyDescent="0.3">
      <c r="A162" s="355" t="s">
        <v>1482</v>
      </c>
      <c r="B162" s="355"/>
      <c r="C162" s="355"/>
      <c r="D162" s="355"/>
      <c r="E162" s="355"/>
    </row>
    <row r="163" spans="1:5" ht="7.5" customHeight="1" x14ac:dyDescent="0.3">
      <c r="A163" s="273"/>
    </row>
    <row r="164" spans="1:5" ht="18" customHeight="1" x14ac:dyDescent="0.3">
      <c r="A164" s="274"/>
      <c r="C164" s="366" t="s">
        <v>195</v>
      </c>
      <c r="D164" s="366"/>
      <c r="E164" s="366"/>
    </row>
    <row r="165" spans="1:5" ht="18" customHeight="1" x14ac:dyDescent="0.3">
      <c r="A165" s="275"/>
      <c r="C165" s="368" t="s">
        <v>1483</v>
      </c>
      <c r="D165" s="368"/>
      <c r="E165" s="368"/>
    </row>
  </sheetData>
  <mergeCells count="166">
    <mergeCell ref="A161:E161"/>
    <mergeCell ref="A162:E162"/>
    <mergeCell ref="C164:E164"/>
    <mergeCell ref="C165:E165"/>
    <mergeCell ref="A151:E151"/>
    <mergeCell ref="A152:E152"/>
    <mergeCell ref="A153:E153"/>
    <mergeCell ref="A155:E155"/>
    <mergeCell ref="A156:E156"/>
    <mergeCell ref="A157:E157"/>
    <mergeCell ref="A158:E158"/>
    <mergeCell ref="A159:E159"/>
    <mergeCell ref="A160:E160"/>
    <mergeCell ref="A142:E142"/>
    <mergeCell ref="A143:E143"/>
    <mergeCell ref="A144:E144"/>
    <mergeCell ref="A145:E145"/>
    <mergeCell ref="A146:E146"/>
    <mergeCell ref="A147:E147"/>
    <mergeCell ref="A148:E148"/>
    <mergeCell ref="A149:E149"/>
    <mergeCell ref="A150:E150"/>
    <mergeCell ref="A133:E133"/>
    <mergeCell ref="A134:E134"/>
    <mergeCell ref="A135:E135"/>
    <mergeCell ref="A136:E136"/>
    <mergeCell ref="A137:E137"/>
    <mergeCell ref="A138:E138"/>
    <mergeCell ref="A139:E139"/>
    <mergeCell ref="A140:E140"/>
    <mergeCell ref="A141:E141"/>
    <mergeCell ref="A124:E124"/>
    <mergeCell ref="A125:E125"/>
    <mergeCell ref="A126:E126"/>
    <mergeCell ref="A127:E127"/>
    <mergeCell ref="A128:E128"/>
    <mergeCell ref="A129:E129"/>
    <mergeCell ref="A130:E130"/>
    <mergeCell ref="A131:E131"/>
    <mergeCell ref="A132:E132"/>
    <mergeCell ref="A115:E115"/>
    <mergeCell ref="A116:E116"/>
    <mergeCell ref="A117:E117"/>
    <mergeCell ref="A118:E118"/>
    <mergeCell ref="A119:E119"/>
    <mergeCell ref="A120:E120"/>
    <mergeCell ref="A121:E121"/>
    <mergeCell ref="A122:E122"/>
    <mergeCell ref="A123:E123"/>
    <mergeCell ref="B106:E106"/>
    <mergeCell ref="B107:E107"/>
    <mergeCell ref="B108:E108"/>
    <mergeCell ref="B109:E109"/>
    <mergeCell ref="B110:E110"/>
    <mergeCell ref="A111:E111"/>
    <mergeCell ref="A112:E112"/>
    <mergeCell ref="A113:E113"/>
    <mergeCell ref="A114:E114"/>
    <mergeCell ref="B97:E97"/>
    <mergeCell ref="B98:E98"/>
    <mergeCell ref="A99:E99"/>
    <mergeCell ref="A100:E100"/>
    <mergeCell ref="A101:E101"/>
    <mergeCell ref="B102:E102"/>
    <mergeCell ref="B103:E103"/>
    <mergeCell ref="B104:E104"/>
    <mergeCell ref="A105:E105"/>
    <mergeCell ref="C88:E88"/>
    <mergeCell ref="C89:E89"/>
    <mergeCell ref="A90:E90"/>
    <mergeCell ref="A91:E91"/>
    <mergeCell ref="A92:E92"/>
    <mergeCell ref="A93:E93"/>
    <mergeCell ref="A94:E94"/>
    <mergeCell ref="B95:E95"/>
    <mergeCell ref="B96:E96"/>
    <mergeCell ref="A79:E79"/>
    <mergeCell ref="B80:E80"/>
    <mergeCell ref="B81:E81"/>
    <mergeCell ref="B82:E82"/>
    <mergeCell ref="B83:E83"/>
    <mergeCell ref="A84:E84"/>
    <mergeCell ref="C85:E85"/>
    <mergeCell ref="C86:E86"/>
    <mergeCell ref="C87:E87"/>
    <mergeCell ref="D70:E70"/>
    <mergeCell ref="D71:E71"/>
    <mergeCell ref="D72:E72"/>
    <mergeCell ref="A73:E73"/>
    <mergeCell ref="D74:E74"/>
    <mergeCell ref="D75:E75"/>
    <mergeCell ref="D76:E76"/>
    <mergeCell ref="A77:E77"/>
    <mergeCell ref="A78:E78"/>
    <mergeCell ref="D61:E61"/>
    <mergeCell ref="D62:E62"/>
    <mergeCell ref="D63:E63"/>
    <mergeCell ref="A64:E64"/>
    <mergeCell ref="A65:E65"/>
    <mergeCell ref="D66:E66"/>
    <mergeCell ref="D67:E67"/>
    <mergeCell ref="D68:E68"/>
    <mergeCell ref="A69:E69"/>
    <mergeCell ref="D52:E52"/>
    <mergeCell ref="D53:E53"/>
    <mergeCell ref="A54:E54"/>
    <mergeCell ref="A55:E55"/>
    <mergeCell ref="D56:E56"/>
    <mergeCell ref="D57:E57"/>
    <mergeCell ref="D58:E58"/>
    <mergeCell ref="A59:E59"/>
    <mergeCell ref="D60:E60"/>
    <mergeCell ref="A43:E43"/>
    <mergeCell ref="A44:E44"/>
    <mergeCell ref="C45:E45"/>
    <mergeCell ref="C46:E46"/>
    <mergeCell ref="A47:E47"/>
    <mergeCell ref="A48:E48"/>
    <mergeCell ref="D49:E49"/>
    <mergeCell ref="D50:E50"/>
    <mergeCell ref="D51:E51"/>
    <mergeCell ref="C34:E34"/>
    <mergeCell ref="C35:E35"/>
    <mergeCell ref="C36:E36"/>
    <mergeCell ref="A37:E37"/>
    <mergeCell ref="A38:E38"/>
    <mergeCell ref="A39:E39"/>
    <mergeCell ref="A40:E40"/>
    <mergeCell ref="A41:E41"/>
    <mergeCell ref="A42:E42"/>
    <mergeCell ref="A25:E25"/>
    <mergeCell ref="A26:E26"/>
    <mergeCell ref="A27:E27"/>
    <mergeCell ref="A28:E28"/>
    <mergeCell ref="A29:E29"/>
    <mergeCell ref="A30:E30"/>
    <mergeCell ref="A31:E31"/>
    <mergeCell ref="C32:E32"/>
    <mergeCell ref="C33:E33"/>
    <mergeCell ref="A16:E16"/>
    <mergeCell ref="A17:E17"/>
    <mergeCell ref="A18:E18"/>
    <mergeCell ref="A19:E19"/>
    <mergeCell ref="A20:E20"/>
    <mergeCell ref="A21:E21"/>
    <mergeCell ref="A22:E22"/>
    <mergeCell ref="A23:E23"/>
    <mergeCell ref="A24:E24"/>
    <mergeCell ref="A7:E7"/>
    <mergeCell ref="A8:E8"/>
    <mergeCell ref="A9:E9"/>
    <mergeCell ref="A10:E10"/>
    <mergeCell ref="A11:E11"/>
    <mergeCell ref="A12:E12"/>
    <mergeCell ref="A13:E13"/>
    <mergeCell ref="A14:E14"/>
    <mergeCell ref="A15:E15"/>
    <mergeCell ref="A1:B1"/>
    <mergeCell ref="C1:E1"/>
    <mergeCell ref="A2:B2"/>
    <mergeCell ref="C2:E2"/>
    <mergeCell ref="A3:B3"/>
    <mergeCell ref="C3:E3"/>
    <mergeCell ref="C4:E4"/>
    <mergeCell ref="A5:E5"/>
    <mergeCell ref="A6:E6"/>
  </mergeCells>
  <pageMargins left="0.5" right="0.5" top="0.5" bottom="0.55000000000000004" header="0.511811023622047" footer="0.25"/>
  <pageSetup paperSize="9" fitToHeight="0" orientation="portrait" horizontalDpi="300" verticalDpi="300"/>
  <headerFooter>
    <oddFooter>&amp;C&amp;"Times New Roman,Italic"&amp;9 Trang &amp;P/&amp;N</oddFooter>
  </headerFooter>
  <rowBreaks count="7" manualBreakCount="7">
    <brk id="24" max="16383" man="1"/>
    <brk id="42" max="16383" man="1"/>
    <brk id="68" max="16383" man="1"/>
    <brk id="92" max="16383" man="1"/>
    <brk id="116" max="16383" man="1"/>
    <brk id="133" max="16383" man="1"/>
    <brk id="154"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70C0"/>
    <pageSetUpPr fitToPage="1"/>
  </sheetPr>
  <dimension ref="A1:M46"/>
  <sheetViews>
    <sheetView showGridLines="0" topLeftCell="A4" zoomScaleNormal="100" workbookViewId="0">
      <selection activeCell="K26" sqref="K26"/>
    </sheetView>
  </sheetViews>
  <sheetFormatPr defaultColWidth="8.6640625" defaultRowHeight="13.2" x14ac:dyDescent="0.25"/>
  <cols>
    <col min="1" max="1" width="14.109375" style="278" customWidth="1"/>
    <col min="2" max="2" width="18.6640625" style="278" customWidth="1"/>
    <col min="3" max="3" width="14.109375" style="278" customWidth="1"/>
    <col min="4" max="4" width="8" style="278" customWidth="1"/>
    <col min="5" max="5" width="25.6640625" style="278" customWidth="1"/>
    <col min="6" max="8" width="14.109375" style="278" customWidth="1"/>
    <col min="9" max="9" width="5.33203125" style="278" customWidth="1"/>
    <col min="10" max="10" width="22.88671875" style="278" customWidth="1"/>
    <col min="11" max="13" width="14.109375" style="278" customWidth="1"/>
    <col min="14" max="16384" width="8.6640625" style="278"/>
  </cols>
  <sheetData>
    <row r="1" spans="1:13" ht="15.75" customHeight="1" x14ac:dyDescent="0.25">
      <c r="A1" s="376" t="s">
        <v>1303</v>
      </c>
      <c r="B1" s="376"/>
      <c r="C1" s="376"/>
      <c r="D1" s="376"/>
      <c r="E1" s="376"/>
      <c r="F1" s="376"/>
      <c r="G1" s="376"/>
      <c r="H1" s="376"/>
      <c r="I1" s="376"/>
      <c r="J1" s="376"/>
      <c r="K1" s="376"/>
      <c r="L1" s="376"/>
      <c r="M1" s="376"/>
    </row>
    <row r="2" spans="1:13" ht="19.5" customHeight="1" x14ac:dyDescent="0.25">
      <c r="A2" s="377" t="s">
        <v>1740</v>
      </c>
      <c r="B2" s="377"/>
      <c r="C2" s="377"/>
      <c r="D2" s="377"/>
      <c r="E2" s="377"/>
      <c r="F2" s="377"/>
      <c r="G2" s="377"/>
      <c r="H2" s="377"/>
      <c r="I2" s="377"/>
      <c r="J2" s="377"/>
      <c r="K2" s="377"/>
      <c r="L2" s="377"/>
      <c r="M2" s="377"/>
    </row>
    <row r="3" spans="1:13" ht="12.75" customHeight="1" x14ac:dyDescent="0.25">
      <c r="A3" s="378" t="s">
        <v>1741</v>
      </c>
      <c r="B3" s="378"/>
      <c r="C3" s="378"/>
      <c r="D3" s="378"/>
      <c r="E3" s="378"/>
      <c r="F3" s="378"/>
      <c r="G3" s="378"/>
      <c r="H3" s="378"/>
      <c r="I3" s="378"/>
      <c r="J3" s="378"/>
      <c r="K3" s="378"/>
      <c r="L3" s="378"/>
      <c r="M3" s="378"/>
    </row>
    <row r="5" spans="1:13" ht="15" customHeight="1" x14ac:dyDescent="0.25">
      <c r="A5" s="379" t="s">
        <v>1742</v>
      </c>
      <c r="B5" s="379"/>
      <c r="C5" s="379"/>
      <c r="E5" s="379" t="s">
        <v>1743</v>
      </c>
      <c r="F5" s="379"/>
      <c r="G5" s="379"/>
      <c r="H5" s="379"/>
      <c r="J5" s="379" t="s">
        <v>1744</v>
      </c>
      <c r="K5" s="379"/>
      <c r="L5" s="379"/>
      <c r="M5" s="379"/>
    </row>
    <row r="6" spans="1:13" ht="15" customHeight="1" x14ac:dyDescent="0.25">
      <c r="A6" s="380" t="s">
        <v>1745</v>
      </c>
      <c r="B6" s="380"/>
      <c r="C6" s="380"/>
      <c r="E6" s="380" t="s">
        <v>1746</v>
      </c>
      <c r="F6" s="380"/>
      <c r="G6" s="380"/>
      <c r="H6" s="380"/>
      <c r="J6" s="380" t="s">
        <v>1747</v>
      </c>
      <c r="K6" s="380"/>
      <c r="L6" s="380"/>
      <c r="M6" s="380"/>
    </row>
    <row r="7" spans="1:13" ht="15" customHeight="1" x14ac:dyDescent="0.25">
      <c r="A7" s="279" t="s">
        <v>1345</v>
      </c>
      <c r="B7" s="279" t="s">
        <v>1748</v>
      </c>
      <c r="C7" s="279" t="s">
        <v>1749</v>
      </c>
      <c r="E7" s="279" t="s">
        <v>1549</v>
      </c>
      <c r="F7" s="279" t="s">
        <v>1750</v>
      </c>
      <c r="G7" s="279" t="s">
        <v>1751</v>
      </c>
      <c r="H7" s="279" t="s">
        <v>1752</v>
      </c>
      <c r="J7" s="279" t="s">
        <v>197</v>
      </c>
      <c r="K7" s="279" t="s">
        <v>1750</v>
      </c>
      <c r="L7" s="279" t="s">
        <v>1751</v>
      </c>
      <c r="M7" s="279" t="s">
        <v>1753</v>
      </c>
    </row>
    <row r="8" spans="1:13" ht="18.75" customHeight="1" x14ac:dyDescent="0.25">
      <c r="A8" s="280" t="s">
        <v>1754</v>
      </c>
      <c r="B8" s="281" t="s">
        <v>1755</v>
      </c>
      <c r="C8" s="281" t="s">
        <v>1351</v>
      </c>
      <c r="E8" s="280" t="s">
        <v>1756</v>
      </c>
      <c r="F8" s="281" t="s">
        <v>1351</v>
      </c>
      <c r="G8" s="281" t="s">
        <v>1354</v>
      </c>
      <c r="H8" s="281" t="s">
        <v>1757</v>
      </c>
      <c r="J8" s="280" t="s">
        <v>1758</v>
      </c>
      <c r="K8" s="281" t="s">
        <v>1618</v>
      </c>
      <c r="L8" s="281" t="s">
        <v>1619</v>
      </c>
      <c r="M8" s="281" t="s">
        <v>1625</v>
      </c>
    </row>
    <row r="9" spans="1:13" ht="18.75" customHeight="1" x14ac:dyDescent="0.25">
      <c r="A9" s="280" t="s">
        <v>1759</v>
      </c>
      <c r="B9" s="281" t="s">
        <v>1760</v>
      </c>
      <c r="C9" s="281" t="s">
        <v>1354</v>
      </c>
      <c r="E9" s="280" t="s">
        <v>1761</v>
      </c>
      <c r="F9" s="281" t="s">
        <v>1370</v>
      </c>
      <c r="G9" s="281" t="s">
        <v>1503</v>
      </c>
      <c r="H9" s="281" t="s">
        <v>1762</v>
      </c>
      <c r="J9" s="280" t="s">
        <v>1622</v>
      </c>
      <c r="K9" s="281" t="s">
        <v>1623</v>
      </c>
      <c r="L9" s="281" t="s">
        <v>1624</v>
      </c>
      <c r="M9" s="281" t="s">
        <v>1625</v>
      </c>
    </row>
    <row r="10" spans="1:13" ht="18.75" customHeight="1" x14ac:dyDescent="0.25">
      <c r="A10" s="280" t="s">
        <v>1763</v>
      </c>
      <c r="B10" s="281" t="s">
        <v>1764</v>
      </c>
      <c r="C10" s="281" t="s">
        <v>1357</v>
      </c>
      <c r="E10" s="280" t="s">
        <v>1765</v>
      </c>
      <c r="F10" s="281" t="s">
        <v>1507</v>
      </c>
      <c r="G10" s="281" t="s">
        <v>1508</v>
      </c>
      <c r="H10" s="281" t="s">
        <v>1766</v>
      </c>
      <c r="J10" s="280" t="s">
        <v>1626</v>
      </c>
      <c r="K10" s="281" t="s">
        <v>1627</v>
      </c>
      <c r="L10" s="281" t="s">
        <v>1628</v>
      </c>
      <c r="M10" s="281" t="s">
        <v>1629</v>
      </c>
    </row>
    <row r="11" spans="1:13" ht="15" customHeight="1" x14ac:dyDescent="0.25">
      <c r="A11" s="280" t="s">
        <v>1767</v>
      </c>
      <c r="B11" s="281" t="s">
        <v>1768</v>
      </c>
      <c r="C11" s="281" t="s">
        <v>1360</v>
      </c>
      <c r="E11" s="380" t="s">
        <v>1769</v>
      </c>
      <c r="F11" s="380"/>
      <c r="G11" s="380"/>
      <c r="H11" s="380"/>
      <c r="J11" s="280" t="s">
        <v>1630</v>
      </c>
      <c r="K11" s="281" t="s">
        <v>1631</v>
      </c>
      <c r="L11" s="281" t="s">
        <v>1360</v>
      </c>
      <c r="M11" s="281" t="s">
        <v>1628</v>
      </c>
    </row>
    <row r="12" spans="1:13" ht="15" customHeight="1" x14ac:dyDescent="0.25">
      <c r="A12" s="380" t="s">
        <v>1770</v>
      </c>
      <c r="B12" s="380"/>
      <c r="C12" s="380"/>
      <c r="E12" s="279" t="s">
        <v>1549</v>
      </c>
      <c r="F12" s="279" t="s">
        <v>1750</v>
      </c>
      <c r="G12" s="279" t="s">
        <v>1751</v>
      </c>
      <c r="H12" s="279" t="s">
        <v>1753</v>
      </c>
      <c r="J12" s="280" t="s">
        <v>1771</v>
      </c>
      <c r="K12" s="281" t="s">
        <v>1354</v>
      </c>
      <c r="L12" s="281" t="s">
        <v>1627</v>
      </c>
      <c r="M12" s="281" t="s">
        <v>1633</v>
      </c>
    </row>
    <row r="13" spans="1:13" ht="15" customHeight="1" x14ac:dyDescent="0.25">
      <c r="A13" s="279" t="s">
        <v>1549</v>
      </c>
      <c r="B13" s="279" t="s">
        <v>1772</v>
      </c>
      <c r="C13" s="279" t="s">
        <v>1753</v>
      </c>
      <c r="E13" s="280" t="s">
        <v>1773</v>
      </c>
      <c r="F13" s="281" t="s">
        <v>1368</v>
      </c>
      <c r="G13" s="281" t="s">
        <v>1369</v>
      </c>
      <c r="H13" s="281" t="s">
        <v>1370</v>
      </c>
      <c r="J13" s="280" t="s">
        <v>1774</v>
      </c>
      <c r="K13" s="281" t="s">
        <v>1629</v>
      </c>
      <c r="L13" s="281" t="s">
        <v>1637</v>
      </c>
      <c r="M13" s="281" t="s">
        <v>1625</v>
      </c>
    </row>
    <row r="14" spans="1:13" ht="18.75" customHeight="1" x14ac:dyDescent="0.25">
      <c r="A14" s="280" t="s">
        <v>1775</v>
      </c>
      <c r="B14" s="281" t="s">
        <v>1776</v>
      </c>
      <c r="C14" s="281" t="s">
        <v>1370</v>
      </c>
      <c r="E14" s="280" t="s">
        <v>1777</v>
      </c>
      <c r="F14" s="281" t="s">
        <v>1369</v>
      </c>
      <c r="G14" s="281" t="s">
        <v>1370</v>
      </c>
      <c r="H14" s="281" t="s">
        <v>1372</v>
      </c>
      <c r="J14" s="280" t="s">
        <v>1778</v>
      </c>
      <c r="K14" s="281" t="s">
        <v>1354</v>
      </c>
      <c r="L14" s="281" t="s">
        <v>1627</v>
      </c>
      <c r="M14" s="281" t="s">
        <v>1633</v>
      </c>
    </row>
    <row r="15" spans="1:13" ht="18.75" customHeight="1" x14ac:dyDescent="0.25">
      <c r="A15" s="280" t="s">
        <v>1779</v>
      </c>
      <c r="B15" s="281" t="s">
        <v>1780</v>
      </c>
      <c r="C15" s="281" t="s">
        <v>1372</v>
      </c>
      <c r="E15" s="280" t="s">
        <v>1781</v>
      </c>
      <c r="F15" s="281" t="s">
        <v>1370</v>
      </c>
      <c r="G15" s="281" t="s">
        <v>1372</v>
      </c>
      <c r="H15" s="281" t="s">
        <v>1374</v>
      </c>
      <c r="J15" s="280" t="s">
        <v>1782</v>
      </c>
      <c r="K15" s="281" t="s">
        <v>1623</v>
      </c>
      <c r="L15" s="281" t="s">
        <v>1624</v>
      </c>
      <c r="M15" s="281" t="s">
        <v>1625</v>
      </c>
    </row>
    <row r="16" spans="1:13" ht="18.75" customHeight="1" x14ac:dyDescent="0.25">
      <c r="A16" s="280" t="s">
        <v>1783</v>
      </c>
      <c r="B16" s="281" t="s">
        <v>1784</v>
      </c>
      <c r="C16" s="281" t="s">
        <v>1374</v>
      </c>
      <c r="E16" s="280" t="s">
        <v>1785</v>
      </c>
      <c r="F16" s="281" t="s">
        <v>1378</v>
      </c>
      <c r="G16" s="281" t="s">
        <v>1380</v>
      </c>
      <c r="H16" s="281" t="s">
        <v>1382</v>
      </c>
      <c r="J16" s="280" t="s">
        <v>1786</v>
      </c>
      <c r="K16" s="281" t="s">
        <v>1631</v>
      </c>
      <c r="L16" s="281" t="s">
        <v>1627</v>
      </c>
      <c r="M16" s="281" t="s">
        <v>1641</v>
      </c>
    </row>
    <row r="17" spans="1:13" ht="15" customHeight="1" x14ac:dyDescent="0.25">
      <c r="A17" s="380" t="s">
        <v>1787</v>
      </c>
      <c r="B17" s="380"/>
      <c r="C17" s="380"/>
      <c r="E17" s="380" t="s">
        <v>1788</v>
      </c>
      <c r="F17" s="380"/>
      <c r="G17" s="380"/>
      <c r="H17" s="380"/>
      <c r="J17" s="280" t="s">
        <v>1789</v>
      </c>
      <c r="K17" s="281" t="s">
        <v>1354</v>
      </c>
      <c r="L17" s="281" t="s">
        <v>1357</v>
      </c>
      <c r="M17" s="281" t="s">
        <v>1360</v>
      </c>
    </row>
    <row r="18" spans="1:13" ht="15" customHeight="1" x14ac:dyDescent="0.25">
      <c r="A18" s="279" t="s">
        <v>1345</v>
      </c>
      <c r="B18" s="279" t="s">
        <v>1748</v>
      </c>
      <c r="C18" s="279" t="s">
        <v>1749</v>
      </c>
      <c r="E18" s="279" t="s">
        <v>1790</v>
      </c>
      <c r="F18" s="279" t="s">
        <v>1791</v>
      </c>
      <c r="G18" s="279" t="s">
        <v>1792</v>
      </c>
      <c r="H18" s="279" t="s">
        <v>1793</v>
      </c>
      <c r="J18" s="280" t="s">
        <v>1794</v>
      </c>
      <c r="K18" s="281" t="s">
        <v>1646</v>
      </c>
      <c r="L18" s="281" t="s">
        <v>1647</v>
      </c>
      <c r="M18" s="281" t="s">
        <v>1625</v>
      </c>
    </row>
    <row r="19" spans="1:13" ht="15" customHeight="1" x14ac:dyDescent="0.25">
      <c r="A19" s="280" t="s">
        <v>1754</v>
      </c>
      <c r="B19" s="281" t="s">
        <v>1795</v>
      </c>
      <c r="C19" s="281" t="s">
        <v>1378</v>
      </c>
      <c r="E19" s="280" t="s">
        <v>1796</v>
      </c>
      <c r="F19" s="281" t="s">
        <v>1526</v>
      </c>
      <c r="G19" s="281" t="s">
        <v>1527</v>
      </c>
      <c r="H19" s="281" t="s">
        <v>1528</v>
      </c>
      <c r="J19" s="280" t="s">
        <v>1797</v>
      </c>
      <c r="K19" s="281" t="s">
        <v>1631</v>
      </c>
      <c r="L19" s="281" t="s">
        <v>1360</v>
      </c>
      <c r="M19" s="281" t="s">
        <v>1628</v>
      </c>
    </row>
    <row r="20" spans="1:13" ht="18.75" customHeight="1" x14ac:dyDescent="0.25">
      <c r="A20" s="280" t="s">
        <v>1759</v>
      </c>
      <c r="B20" s="281" t="s">
        <v>1760</v>
      </c>
      <c r="C20" s="281" t="s">
        <v>1380</v>
      </c>
      <c r="E20" s="280" t="s">
        <v>1798</v>
      </c>
      <c r="F20" s="281" t="s">
        <v>1531</v>
      </c>
      <c r="G20" s="281" t="s">
        <v>1532</v>
      </c>
      <c r="H20" s="281" t="s">
        <v>1527</v>
      </c>
      <c r="J20" s="280" t="s">
        <v>1799</v>
      </c>
      <c r="K20" s="281" t="s">
        <v>1629</v>
      </c>
      <c r="L20" s="281" t="s">
        <v>1637</v>
      </c>
      <c r="M20" s="281" t="s">
        <v>1625</v>
      </c>
    </row>
    <row r="21" spans="1:13" ht="27.75" customHeight="1" x14ac:dyDescent="0.25">
      <c r="A21" s="280" t="s">
        <v>1763</v>
      </c>
      <c r="B21" s="281" t="s">
        <v>1800</v>
      </c>
      <c r="C21" s="281" t="s">
        <v>1382</v>
      </c>
      <c r="E21" s="280" t="s">
        <v>1801</v>
      </c>
      <c r="F21" s="281" t="s">
        <v>1535</v>
      </c>
      <c r="G21" s="281" t="s">
        <v>1536</v>
      </c>
      <c r="H21" s="281" t="s">
        <v>1537</v>
      </c>
      <c r="J21" s="280" t="s">
        <v>1802</v>
      </c>
      <c r="K21" s="281" t="s">
        <v>1354</v>
      </c>
      <c r="L21" s="281" t="s">
        <v>1627</v>
      </c>
      <c r="M21" s="281" t="s">
        <v>1633</v>
      </c>
    </row>
    <row r="22" spans="1:13" ht="18.75" customHeight="1" x14ac:dyDescent="0.25">
      <c r="A22" s="380" t="s">
        <v>1803</v>
      </c>
      <c r="B22" s="380"/>
      <c r="C22" s="380"/>
      <c r="E22" s="280" t="s">
        <v>1804</v>
      </c>
      <c r="F22" s="281" t="s">
        <v>1540</v>
      </c>
      <c r="G22" s="281" t="s">
        <v>1541</v>
      </c>
      <c r="H22" s="281" t="s">
        <v>1542</v>
      </c>
      <c r="J22" s="280" t="s">
        <v>1805</v>
      </c>
      <c r="K22" s="281" t="s">
        <v>1629</v>
      </c>
      <c r="L22" s="281" t="s">
        <v>1637</v>
      </c>
      <c r="M22" s="281" t="s">
        <v>1625</v>
      </c>
    </row>
    <row r="23" spans="1:13" ht="18.75" customHeight="1" x14ac:dyDescent="0.25">
      <c r="A23" s="279" t="s">
        <v>1662</v>
      </c>
      <c r="B23" s="279" t="s">
        <v>1806</v>
      </c>
      <c r="C23" s="279" t="s">
        <v>1807</v>
      </c>
      <c r="E23" s="280" t="s">
        <v>1808</v>
      </c>
      <c r="F23" s="281" t="s">
        <v>1357</v>
      </c>
      <c r="G23" s="281" t="s">
        <v>1351</v>
      </c>
      <c r="H23" s="281" t="s">
        <v>1545</v>
      </c>
      <c r="J23" s="280" t="s">
        <v>1809</v>
      </c>
      <c r="K23" s="281" t="s">
        <v>1354</v>
      </c>
      <c r="L23" s="281" t="s">
        <v>1627</v>
      </c>
      <c r="M23" s="281" t="s">
        <v>1633</v>
      </c>
    </row>
    <row r="24" spans="1:13" ht="18.75" customHeight="1" x14ac:dyDescent="0.25">
      <c r="A24" s="280" t="s">
        <v>1501</v>
      </c>
      <c r="B24" s="281" t="s">
        <v>1810</v>
      </c>
      <c r="C24" s="281" t="s">
        <v>1811</v>
      </c>
      <c r="E24" s="380" t="s">
        <v>1812</v>
      </c>
      <c r="F24" s="380"/>
      <c r="G24" s="380"/>
      <c r="H24" s="380"/>
      <c r="J24" s="380" t="s">
        <v>1813</v>
      </c>
      <c r="K24" s="380"/>
      <c r="L24" s="380"/>
      <c r="M24" s="380"/>
    </row>
    <row r="25" spans="1:13" ht="18.75" customHeight="1" x14ac:dyDescent="0.25">
      <c r="A25" s="280" t="s">
        <v>1792</v>
      </c>
      <c r="B25" s="281" t="s">
        <v>1814</v>
      </c>
      <c r="C25" s="281" t="s">
        <v>1811</v>
      </c>
      <c r="E25" s="279" t="s">
        <v>1549</v>
      </c>
      <c r="F25" s="279" t="s">
        <v>1815</v>
      </c>
      <c r="G25" s="279"/>
      <c r="H25" s="279"/>
      <c r="J25" s="279" t="s">
        <v>1419</v>
      </c>
      <c r="K25" s="279" t="s">
        <v>1816</v>
      </c>
      <c r="L25" s="279"/>
      <c r="M25" s="279"/>
    </row>
    <row r="26" spans="1:13" ht="18.75" customHeight="1" x14ac:dyDescent="0.25">
      <c r="A26" s="280" t="s">
        <v>1817</v>
      </c>
      <c r="B26" s="281" t="s">
        <v>1818</v>
      </c>
      <c r="C26" s="281" t="s">
        <v>1406</v>
      </c>
      <c r="E26" s="280" t="s">
        <v>1819</v>
      </c>
      <c r="F26" s="281" t="s">
        <v>1820</v>
      </c>
      <c r="G26" s="281"/>
      <c r="H26" s="281"/>
      <c r="J26" s="280" t="s">
        <v>1821</v>
      </c>
      <c r="K26" s="281" t="s">
        <v>1822</v>
      </c>
      <c r="L26" s="281"/>
      <c r="M26" s="281"/>
    </row>
    <row r="27" spans="1:13" ht="18.75" customHeight="1" x14ac:dyDescent="0.25">
      <c r="A27" s="280" t="s">
        <v>1823</v>
      </c>
      <c r="B27" s="281" t="s">
        <v>1818</v>
      </c>
      <c r="C27" s="281" t="s">
        <v>1408</v>
      </c>
      <c r="E27" s="280" t="s">
        <v>1824</v>
      </c>
      <c r="F27" s="281" t="s">
        <v>1825</v>
      </c>
      <c r="G27" s="281"/>
      <c r="H27" s="281"/>
      <c r="J27" s="280" t="s">
        <v>1826</v>
      </c>
      <c r="K27" s="281" t="s">
        <v>2015</v>
      </c>
      <c r="L27" s="281"/>
      <c r="M27" s="281"/>
    </row>
    <row r="28" spans="1:13" ht="15.75" customHeight="1" x14ac:dyDescent="0.25">
      <c r="A28" s="382" t="s">
        <v>1827</v>
      </c>
      <c r="B28" s="382"/>
      <c r="C28" s="382"/>
      <c r="E28" s="280" t="s">
        <v>1828</v>
      </c>
      <c r="F28" s="281" t="s">
        <v>1829</v>
      </c>
      <c r="G28" s="281"/>
      <c r="H28" s="281"/>
      <c r="J28" s="280" t="s">
        <v>151</v>
      </c>
      <c r="K28" s="281" t="s">
        <v>1830</v>
      </c>
      <c r="L28" s="281"/>
      <c r="M28" s="281"/>
    </row>
    <row r="29" spans="1:13" ht="15.75" customHeight="1" x14ac:dyDescent="0.25">
      <c r="E29" s="382" t="s">
        <v>1831</v>
      </c>
      <c r="F29" s="382"/>
      <c r="G29" s="382"/>
      <c r="H29" s="382"/>
      <c r="J29" s="280" t="s">
        <v>1832</v>
      </c>
      <c r="K29" s="281" t="s">
        <v>1833</v>
      </c>
      <c r="L29" s="281"/>
      <c r="M29" s="281"/>
    </row>
    <row r="30" spans="1:13" ht="15" customHeight="1" x14ac:dyDescent="0.25">
      <c r="J30" s="280" t="s">
        <v>1834</v>
      </c>
      <c r="K30" s="281" t="s">
        <v>1835</v>
      </c>
      <c r="L30" s="281"/>
      <c r="M30" s="281"/>
    </row>
    <row r="31" spans="1:13" ht="15" customHeight="1" x14ac:dyDescent="0.25">
      <c r="J31" s="380" t="s">
        <v>1836</v>
      </c>
      <c r="K31" s="380"/>
      <c r="L31" s="380"/>
      <c r="M31" s="380"/>
    </row>
    <row r="32" spans="1:13" ht="15" customHeight="1" x14ac:dyDescent="0.25">
      <c r="J32" s="279" t="s">
        <v>1837</v>
      </c>
      <c r="K32" s="279" t="s">
        <v>1807</v>
      </c>
      <c r="L32" s="279"/>
      <c r="M32" s="279"/>
    </row>
    <row r="33" spans="1:13" ht="15" customHeight="1" x14ac:dyDescent="0.25">
      <c r="J33" s="280" t="s">
        <v>1838</v>
      </c>
      <c r="K33" s="281" t="s">
        <v>1679</v>
      </c>
      <c r="L33" s="281"/>
      <c r="M33" s="281"/>
    </row>
    <row r="34" spans="1:13" ht="15" customHeight="1" x14ac:dyDescent="0.25">
      <c r="J34" s="280" t="s">
        <v>1839</v>
      </c>
      <c r="K34" s="281" t="s">
        <v>1408</v>
      </c>
      <c r="L34" s="281"/>
      <c r="M34" s="281"/>
    </row>
    <row r="35" spans="1:13" ht="15" customHeight="1" x14ac:dyDescent="0.25">
      <c r="J35" s="280" t="s">
        <v>1840</v>
      </c>
      <c r="K35" s="281" t="s">
        <v>1682</v>
      </c>
      <c r="L35" s="281"/>
      <c r="M35" s="281"/>
    </row>
    <row r="36" spans="1:13" ht="15" customHeight="1" x14ac:dyDescent="0.25">
      <c r="J36" s="380" t="s">
        <v>1841</v>
      </c>
      <c r="K36" s="380"/>
      <c r="L36" s="380"/>
      <c r="M36" s="380"/>
    </row>
    <row r="37" spans="1:13" ht="18.75" customHeight="1" x14ac:dyDescent="0.25">
      <c r="J37" s="279" t="s">
        <v>1842</v>
      </c>
      <c r="K37" s="279" t="s">
        <v>1843</v>
      </c>
      <c r="L37" s="279" t="s">
        <v>1844</v>
      </c>
      <c r="M37" s="279"/>
    </row>
    <row r="38" spans="1:13" ht="15" customHeight="1" x14ac:dyDescent="0.25">
      <c r="J38" s="280" t="s">
        <v>1845</v>
      </c>
      <c r="K38" s="281" t="s">
        <v>1846</v>
      </c>
      <c r="L38" s="281"/>
      <c r="M38" s="281"/>
    </row>
    <row r="39" spans="1:13" ht="15" customHeight="1" x14ac:dyDescent="0.25">
      <c r="J39" s="280" t="s">
        <v>1847</v>
      </c>
      <c r="K39" s="281" t="s">
        <v>1848</v>
      </c>
      <c r="L39" s="281"/>
      <c r="M39" s="281"/>
    </row>
    <row r="40" spans="1:13" ht="15" customHeight="1" x14ac:dyDescent="0.25">
      <c r="J40" s="280" t="s">
        <v>1849</v>
      </c>
      <c r="K40" s="281" t="s">
        <v>1850</v>
      </c>
      <c r="L40" s="281"/>
      <c r="M40" s="281"/>
    </row>
    <row r="41" spans="1:13" ht="15" customHeight="1" x14ac:dyDescent="0.25">
      <c r="J41" s="280" t="s">
        <v>1851</v>
      </c>
      <c r="K41" s="281" t="s">
        <v>1702</v>
      </c>
      <c r="L41" s="281"/>
      <c r="M41" s="281"/>
    </row>
    <row r="42" spans="1:13" ht="15.75" customHeight="1" x14ac:dyDescent="0.25">
      <c r="J42" s="382" t="s">
        <v>1852</v>
      </c>
      <c r="K42" s="382"/>
      <c r="L42" s="382"/>
      <c r="M42" s="382"/>
    </row>
    <row r="44" spans="1:13" ht="15.75" customHeight="1" x14ac:dyDescent="0.25">
      <c r="A44" s="381" t="s">
        <v>1853</v>
      </c>
      <c r="B44" s="381"/>
      <c r="C44" s="381"/>
      <c r="D44" s="381"/>
      <c r="E44" s="381"/>
      <c r="F44" s="381"/>
      <c r="G44" s="381"/>
      <c r="H44" s="381"/>
      <c r="I44" s="381"/>
      <c r="J44" s="381"/>
      <c r="K44" s="381"/>
      <c r="L44" s="381"/>
      <c r="M44" s="381"/>
    </row>
    <row r="46" spans="1:13" ht="15" customHeight="1" x14ac:dyDescent="0.25">
      <c r="A46" s="377" t="s">
        <v>130</v>
      </c>
      <c r="B46" s="377"/>
      <c r="C46" s="377"/>
      <c r="E46" s="377" t="s">
        <v>1854</v>
      </c>
      <c r="F46" s="377"/>
      <c r="G46" s="377"/>
      <c r="H46" s="377"/>
      <c r="J46" s="377" t="s">
        <v>195</v>
      </c>
      <c r="K46" s="377"/>
      <c r="L46" s="377"/>
      <c r="M46" s="377"/>
    </row>
  </sheetData>
  <mergeCells count="25">
    <mergeCell ref="A44:M44"/>
    <mergeCell ref="A46:C46"/>
    <mergeCell ref="E46:H46"/>
    <mergeCell ref="J46:M46"/>
    <mergeCell ref="A28:C28"/>
    <mergeCell ref="E29:H29"/>
    <mergeCell ref="J31:M31"/>
    <mergeCell ref="J36:M36"/>
    <mergeCell ref="J42:M42"/>
    <mergeCell ref="A17:C17"/>
    <mergeCell ref="E17:H17"/>
    <mergeCell ref="A22:C22"/>
    <mergeCell ref="E24:H24"/>
    <mergeCell ref="J24:M24"/>
    <mergeCell ref="A6:C6"/>
    <mergeCell ref="E6:H6"/>
    <mergeCell ref="J6:M6"/>
    <mergeCell ref="E11:H11"/>
    <mergeCell ref="A12:C12"/>
    <mergeCell ref="A1:M1"/>
    <mergeCell ref="A2:M2"/>
    <mergeCell ref="A3:M3"/>
    <mergeCell ref="A5:C5"/>
    <mergeCell ref="E5:H5"/>
    <mergeCell ref="J5:M5"/>
  </mergeCells>
  <pageMargins left="0.3" right="0.3" top="0.3" bottom="0.3" header="0.511811023622047" footer="0.511811023622047"/>
  <pageSetup paperSize="9" orientation="landscape" horizontalDpi="300" verticalDpi="30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030A0"/>
  </sheetPr>
  <dimension ref="A1:H59"/>
  <sheetViews>
    <sheetView zoomScaleNormal="100" workbookViewId="0">
      <selection activeCell="H47" sqref="H47"/>
    </sheetView>
  </sheetViews>
  <sheetFormatPr defaultColWidth="8.6640625" defaultRowHeight="14.4" x14ac:dyDescent="0.3"/>
  <cols>
    <col min="1" max="1" width="6" customWidth="1"/>
    <col min="2" max="2" width="20" customWidth="1"/>
    <col min="3" max="3" width="22" customWidth="1"/>
    <col min="4" max="4" width="10" customWidth="1"/>
    <col min="5" max="5" width="11" customWidth="1"/>
    <col min="6" max="6" width="15" customWidth="1"/>
    <col min="7" max="7" width="16.88671875" customWidth="1"/>
    <col min="8" max="8" width="67.5546875" customWidth="1"/>
  </cols>
  <sheetData>
    <row r="1" spans="1:8" ht="16.5" customHeight="1" x14ac:dyDescent="0.3">
      <c r="A1" s="383" t="s">
        <v>1855</v>
      </c>
      <c r="B1" s="383"/>
      <c r="C1" s="383"/>
      <c r="D1" s="383"/>
      <c r="E1" s="383"/>
      <c r="F1" s="383"/>
      <c r="G1" s="383"/>
      <c r="H1" s="383"/>
    </row>
    <row r="2" spans="1:8" ht="20.25" customHeight="1" x14ac:dyDescent="0.35">
      <c r="A2" s="384" t="s">
        <v>1856</v>
      </c>
      <c r="B2" s="384"/>
      <c r="C2" s="384"/>
      <c r="D2" s="384"/>
      <c r="E2" s="384"/>
      <c r="F2" s="384"/>
      <c r="G2" s="384"/>
      <c r="H2" s="384"/>
    </row>
    <row r="3" spans="1:8" ht="14.25" customHeight="1" x14ac:dyDescent="0.3">
      <c r="A3" s="385" t="s">
        <v>1857</v>
      </c>
      <c r="B3" s="385"/>
      <c r="C3" s="385"/>
      <c r="D3" s="385"/>
      <c r="E3" s="385"/>
      <c r="F3" s="385"/>
      <c r="G3" s="385"/>
      <c r="H3" s="385"/>
    </row>
    <row r="5" spans="1:8" ht="14.25" customHeight="1" x14ac:dyDescent="0.3">
      <c r="A5" s="386" t="s">
        <v>1858</v>
      </c>
      <c r="B5" s="386"/>
      <c r="C5" s="386"/>
      <c r="D5" s="386"/>
      <c r="E5" s="282">
        <v>5310000</v>
      </c>
      <c r="F5" s="387" t="s">
        <v>1859</v>
      </c>
      <c r="G5" s="387"/>
      <c r="H5" s="387"/>
    </row>
    <row r="7" spans="1:8" ht="36.75" customHeight="1" x14ac:dyDescent="0.3">
      <c r="A7" s="79" t="s">
        <v>1</v>
      </c>
      <c r="B7" s="79" t="s">
        <v>1686</v>
      </c>
      <c r="C7" s="79" t="s">
        <v>1860</v>
      </c>
      <c r="D7" s="79" t="s">
        <v>1861</v>
      </c>
      <c r="E7" s="79" t="s">
        <v>1862</v>
      </c>
      <c r="F7" s="79" t="s">
        <v>1863</v>
      </c>
      <c r="G7" s="79" t="s">
        <v>1864</v>
      </c>
      <c r="H7" s="79" t="s">
        <v>31</v>
      </c>
    </row>
    <row r="8" spans="1:8" ht="18" customHeight="1" x14ac:dyDescent="0.3">
      <c r="A8" s="373">
        <v>1</v>
      </c>
      <c r="B8" s="388" t="s">
        <v>1865</v>
      </c>
      <c r="C8" s="373" t="s">
        <v>1866</v>
      </c>
      <c r="D8" s="46" t="s">
        <v>1493</v>
      </c>
      <c r="E8" s="283">
        <f t="shared" ref="E8:E50" si="0">F8/$E$5</f>
        <v>1.6949152542372881</v>
      </c>
      <c r="F8" s="84">
        <v>9000000</v>
      </c>
      <c r="G8" s="284" t="s">
        <v>1867</v>
      </c>
      <c r="H8" s="45" t="s">
        <v>1868</v>
      </c>
    </row>
    <row r="9" spans="1:8" ht="18" customHeight="1" x14ac:dyDescent="0.3">
      <c r="A9" s="373"/>
      <c r="B9" s="373"/>
      <c r="C9" s="373"/>
      <c r="D9" s="46" t="s">
        <v>1494</v>
      </c>
      <c r="E9" s="283">
        <f t="shared" si="0"/>
        <v>1.8267419962335216</v>
      </c>
      <c r="F9" s="84">
        <v>9700000</v>
      </c>
      <c r="G9" s="46"/>
      <c r="H9" s="45" t="s">
        <v>1869</v>
      </c>
    </row>
    <row r="10" spans="1:8" ht="18" customHeight="1" x14ac:dyDescent="0.3">
      <c r="A10" s="373"/>
      <c r="B10" s="373"/>
      <c r="C10" s="373"/>
      <c r="D10" s="46" t="s">
        <v>1495</v>
      </c>
      <c r="E10" s="283">
        <f t="shared" si="0"/>
        <v>1.9774011299435028</v>
      </c>
      <c r="F10" s="84">
        <v>10500000</v>
      </c>
      <c r="G10" s="46"/>
      <c r="H10" s="45" t="s">
        <v>1870</v>
      </c>
    </row>
    <row r="11" spans="1:8" ht="18" customHeight="1" x14ac:dyDescent="0.3">
      <c r="A11" s="373">
        <v>2</v>
      </c>
      <c r="B11" s="388" t="s">
        <v>1871</v>
      </c>
      <c r="C11" s="373" t="s">
        <v>1872</v>
      </c>
      <c r="D11" s="46" t="s">
        <v>1493</v>
      </c>
      <c r="E11" s="283">
        <f t="shared" si="0"/>
        <v>1.0734463276836159</v>
      </c>
      <c r="F11" s="84">
        <v>5700000</v>
      </c>
      <c r="G11" s="284" t="s">
        <v>1867</v>
      </c>
      <c r="H11" s="45" t="s">
        <v>1873</v>
      </c>
    </row>
    <row r="12" spans="1:8" ht="18" customHeight="1" x14ac:dyDescent="0.3">
      <c r="A12" s="373"/>
      <c r="B12" s="373"/>
      <c r="C12" s="373"/>
      <c r="D12" s="46" t="s">
        <v>1494</v>
      </c>
      <c r="E12" s="283">
        <f t="shared" si="0"/>
        <v>1.1393596986817325</v>
      </c>
      <c r="F12" s="84">
        <v>6050000</v>
      </c>
      <c r="G12" s="46"/>
      <c r="H12" s="45" t="s">
        <v>1874</v>
      </c>
    </row>
    <row r="13" spans="1:8" ht="18" customHeight="1" x14ac:dyDescent="0.3">
      <c r="A13" s="373"/>
      <c r="B13" s="373"/>
      <c r="C13" s="373"/>
      <c r="D13" s="46" t="s">
        <v>1495</v>
      </c>
      <c r="E13" s="283">
        <f t="shared" si="0"/>
        <v>1.2052730696798493</v>
      </c>
      <c r="F13" s="84">
        <v>6400000</v>
      </c>
      <c r="G13" s="46"/>
      <c r="H13" s="45" t="s">
        <v>1875</v>
      </c>
    </row>
    <row r="14" spans="1:8" ht="18" customHeight="1" x14ac:dyDescent="0.3">
      <c r="A14" s="373"/>
      <c r="B14" s="373"/>
      <c r="C14" s="373"/>
      <c r="D14" s="46" t="s">
        <v>1496</v>
      </c>
      <c r="E14" s="283">
        <f t="shared" si="0"/>
        <v>1.28060263653484</v>
      </c>
      <c r="F14" s="84">
        <v>6800000</v>
      </c>
      <c r="G14" s="46"/>
      <c r="H14" s="45" t="s">
        <v>1876</v>
      </c>
    </row>
    <row r="15" spans="1:8" ht="18" customHeight="1" x14ac:dyDescent="0.3">
      <c r="A15" s="373"/>
      <c r="B15" s="373"/>
      <c r="C15" s="373"/>
      <c r="D15" s="46" t="s">
        <v>1877</v>
      </c>
      <c r="E15" s="283">
        <f t="shared" si="0"/>
        <v>1.3559322033898304</v>
      </c>
      <c r="F15" s="84">
        <v>7200000</v>
      </c>
      <c r="G15" s="46"/>
      <c r="H15" s="45" t="s">
        <v>1878</v>
      </c>
    </row>
    <row r="16" spans="1:8" ht="18" customHeight="1" x14ac:dyDescent="0.3">
      <c r="A16" s="373">
        <v>3</v>
      </c>
      <c r="B16" s="388" t="s">
        <v>1879</v>
      </c>
      <c r="C16" s="373" t="s">
        <v>1872</v>
      </c>
      <c r="D16" s="46" t="s">
        <v>1493</v>
      </c>
      <c r="E16" s="283">
        <f t="shared" si="0"/>
        <v>1.0734463276836159</v>
      </c>
      <c r="F16" s="84">
        <v>5700000</v>
      </c>
      <c r="G16" s="284" t="s">
        <v>1867</v>
      </c>
      <c r="H16" s="45" t="s">
        <v>1873</v>
      </c>
    </row>
    <row r="17" spans="1:8" ht="18" customHeight="1" x14ac:dyDescent="0.3">
      <c r="A17" s="373"/>
      <c r="B17" s="373"/>
      <c r="C17" s="373"/>
      <c r="D17" s="46" t="s">
        <v>1494</v>
      </c>
      <c r="E17" s="283">
        <f t="shared" si="0"/>
        <v>1.1393596986817325</v>
      </c>
      <c r="F17" s="84">
        <v>6050000</v>
      </c>
      <c r="G17" s="46"/>
      <c r="H17" s="45" t="s">
        <v>1874</v>
      </c>
    </row>
    <row r="18" spans="1:8" ht="18" customHeight="1" x14ac:dyDescent="0.3">
      <c r="A18" s="373"/>
      <c r="B18" s="373"/>
      <c r="C18" s="373"/>
      <c r="D18" s="46" t="s">
        <v>1495</v>
      </c>
      <c r="E18" s="283">
        <f t="shared" si="0"/>
        <v>1.2052730696798493</v>
      </c>
      <c r="F18" s="84">
        <v>6400000</v>
      </c>
      <c r="G18" s="46"/>
      <c r="H18" s="45" t="s">
        <v>1875</v>
      </c>
    </row>
    <row r="19" spans="1:8" ht="18" customHeight="1" x14ac:dyDescent="0.3">
      <c r="A19" s="373"/>
      <c r="B19" s="373"/>
      <c r="C19" s="373"/>
      <c r="D19" s="46" t="s">
        <v>1496</v>
      </c>
      <c r="E19" s="283">
        <f t="shared" si="0"/>
        <v>1.28060263653484</v>
      </c>
      <c r="F19" s="84">
        <v>6800000</v>
      </c>
      <c r="G19" s="46"/>
      <c r="H19" s="45" t="s">
        <v>1876</v>
      </c>
    </row>
    <row r="20" spans="1:8" ht="18" customHeight="1" x14ac:dyDescent="0.3">
      <c r="A20" s="373"/>
      <c r="B20" s="373"/>
      <c r="C20" s="373"/>
      <c r="D20" s="46" t="s">
        <v>1877</v>
      </c>
      <c r="E20" s="283">
        <f t="shared" si="0"/>
        <v>1.3559322033898304</v>
      </c>
      <c r="F20" s="84">
        <v>7200000</v>
      </c>
      <c r="G20" s="46"/>
      <c r="H20" s="45" t="s">
        <v>1878</v>
      </c>
    </row>
    <row r="21" spans="1:8" ht="18" customHeight="1" x14ac:dyDescent="0.3">
      <c r="A21" s="373">
        <v>4</v>
      </c>
      <c r="B21" s="388" t="s">
        <v>1880</v>
      </c>
      <c r="C21" s="373" t="s">
        <v>1872</v>
      </c>
      <c r="D21" s="46" t="s">
        <v>1493</v>
      </c>
      <c r="E21" s="283">
        <f t="shared" si="0"/>
        <v>1.0734463276836159</v>
      </c>
      <c r="F21" s="84">
        <v>5700000</v>
      </c>
      <c r="G21" s="284" t="s">
        <v>1867</v>
      </c>
      <c r="H21" s="45" t="s">
        <v>1873</v>
      </c>
    </row>
    <row r="22" spans="1:8" ht="18" customHeight="1" x14ac:dyDescent="0.3">
      <c r="A22" s="373"/>
      <c r="B22" s="373"/>
      <c r="C22" s="373"/>
      <c r="D22" s="46" t="s">
        <v>1494</v>
      </c>
      <c r="E22" s="283">
        <f t="shared" si="0"/>
        <v>1.1393596986817325</v>
      </c>
      <c r="F22" s="84">
        <v>6050000</v>
      </c>
      <c r="G22" s="46"/>
      <c r="H22" s="45" t="s">
        <v>1874</v>
      </c>
    </row>
    <row r="23" spans="1:8" ht="18" customHeight="1" x14ac:dyDescent="0.3">
      <c r="A23" s="373"/>
      <c r="B23" s="373"/>
      <c r="C23" s="373"/>
      <c r="D23" s="46" t="s">
        <v>1495</v>
      </c>
      <c r="E23" s="283">
        <f t="shared" si="0"/>
        <v>1.2052730696798493</v>
      </c>
      <c r="F23" s="84">
        <v>6400000</v>
      </c>
      <c r="G23" s="46"/>
      <c r="H23" s="45" t="s">
        <v>1875</v>
      </c>
    </row>
    <row r="24" spans="1:8" ht="18" customHeight="1" x14ac:dyDescent="0.3">
      <c r="A24" s="373"/>
      <c r="B24" s="373"/>
      <c r="C24" s="373"/>
      <c r="D24" s="46" t="s">
        <v>1496</v>
      </c>
      <c r="E24" s="283">
        <f t="shared" si="0"/>
        <v>1.28060263653484</v>
      </c>
      <c r="F24" s="84">
        <v>6800000</v>
      </c>
      <c r="G24" s="46"/>
      <c r="H24" s="45" t="s">
        <v>1876</v>
      </c>
    </row>
    <row r="25" spans="1:8" ht="18" customHeight="1" x14ac:dyDescent="0.3">
      <c r="A25" s="373"/>
      <c r="B25" s="373"/>
      <c r="C25" s="373"/>
      <c r="D25" s="46" t="s">
        <v>1877</v>
      </c>
      <c r="E25" s="283">
        <f t="shared" si="0"/>
        <v>1.3559322033898304</v>
      </c>
      <c r="F25" s="84">
        <v>7200000</v>
      </c>
      <c r="G25" s="46"/>
      <c r="H25" s="45" t="s">
        <v>1878</v>
      </c>
    </row>
    <row r="26" spans="1:8" ht="18" customHeight="1" x14ac:dyDescent="0.3">
      <c r="A26" s="373">
        <v>5</v>
      </c>
      <c r="B26" s="388" t="s">
        <v>1881</v>
      </c>
      <c r="C26" s="373" t="s">
        <v>1872</v>
      </c>
      <c r="D26" s="46" t="s">
        <v>1493</v>
      </c>
      <c r="E26" s="283">
        <f t="shared" si="0"/>
        <v>1.0734463276836159</v>
      </c>
      <c r="F26" s="84">
        <v>5700000</v>
      </c>
      <c r="G26" s="284" t="s">
        <v>1867</v>
      </c>
      <c r="H26" s="45" t="s">
        <v>1873</v>
      </c>
    </row>
    <row r="27" spans="1:8" ht="18" customHeight="1" x14ac:dyDescent="0.3">
      <c r="A27" s="373"/>
      <c r="B27" s="373"/>
      <c r="C27" s="373"/>
      <c r="D27" s="46" t="s">
        <v>1494</v>
      </c>
      <c r="E27" s="283">
        <f t="shared" si="0"/>
        <v>1.1393596986817325</v>
      </c>
      <c r="F27" s="84">
        <v>6050000</v>
      </c>
      <c r="G27" s="46"/>
      <c r="H27" s="45" t="s">
        <v>1874</v>
      </c>
    </row>
    <row r="28" spans="1:8" ht="18" customHeight="1" x14ac:dyDescent="0.3">
      <c r="A28" s="373"/>
      <c r="B28" s="373"/>
      <c r="C28" s="373"/>
      <c r="D28" s="46" t="s">
        <v>1495</v>
      </c>
      <c r="E28" s="283">
        <f t="shared" si="0"/>
        <v>1.2052730696798493</v>
      </c>
      <c r="F28" s="84">
        <v>6400000</v>
      </c>
      <c r="G28" s="46"/>
      <c r="H28" s="45" t="s">
        <v>1875</v>
      </c>
    </row>
    <row r="29" spans="1:8" ht="18" customHeight="1" x14ac:dyDescent="0.3">
      <c r="A29" s="373"/>
      <c r="B29" s="373"/>
      <c r="C29" s="373"/>
      <c r="D29" s="46" t="s">
        <v>1496</v>
      </c>
      <c r="E29" s="283">
        <f t="shared" si="0"/>
        <v>1.28060263653484</v>
      </c>
      <c r="F29" s="84">
        <v>6800000</v>
      </c>
      <c r="G29" s="46"/>
      <c r="H29" s="45" t="s">
        <v>1876</v>
      </c>
    </row>
    <row r="30" spans="1:8" ht="18" customHeight="1" x14ac:dyDescent="0.3">
      <c r="A30" s="373"/>
      <c r="B30" s="373"/>
      <c r="C30" s="373"/>
      <c r="D30" s="46" t="s">
        <v>1877</v>
      </c>
      <c r="E30" s="283">
        <f t="shared" si="0"/>
        <v>1.3559322033898304</v>
      </c>
      <c r="F30" s="84">
        <v>7200000</v>
      </c>
      <c r="G30" s="46"/>
      <c r="H30" s="45" t="s">
        <v>1878</v>
      </c>
    </row>
    <row r="31" spans="1:8" ht="18" customHeight="1" x14ac:dyDescent="0.3">
      <c r="A31" s="373">
        <v>6</v>
      </c>
      <c r="B31" s="388" t="s">
        <v>1882</v>
      </c>
      <c r="C31" s="373" t="s">
        <v>1872</v>
      </c>
      <c r="D31" s="46" t="s">
        <v>1493</v>
      </c>
      <c r="E31" s="283">
        <f t="shared" si="0"/>
        <v>1.0734463276836159</v>
      </c>
      <c r="F31" s="84">
        <v>5700000</v>
      </c>
      <c r="G31" s="284" t="s">
        <v>1867</v>
      </c>
      <c r="H31" s="45" t="s">
        <v>1873</v>
      </c>
    </row>
    <row r="32" spans="1:8" ht="18" customHeight="1" x14ac:dyDescent="0.3">
      <c r="A32" s="373"/>
      <c r="B32" s="373"/>
      <c r="C32" s="373"/>
      <c r="D32" s="46" t="s">
        <v>1494</v>
      </c>
      <c r="E32" s="283">
        <f t="shared" si="0"/>
        <v>1.1393596986817325</v>
      </c>
      <c r="F32" s="84">
        <v>6050000</v>
      </c>
      <c r="G32" s="46"/>
      <c r="H32" s="45" t="s">
        <v>1874</v>
      </c>
    </row>
    <row r="33" spans="1:8" ht="18" customHeight="1" x14ac:dyDescent="0.3">
      <c r="A33" s="373"/>
      <c r="B33" s="373"/>
      <c r="C33" s="373"/>
      <c r="D33" s="46" t="s">
        <v>1495</v>
      </c>
      <c r="E33" s="283">
        <f t="shared" si="0"/>
        <v>1.2052730696798493</v>
      </c>
      <c r="F33" s="84">
        <v>6400000</v>
      </c>
      <c r="G33" s="46"/>
      <c r="H33" s="45" t="s">
        <v>1875</v>
      </c>
    </row>
    <row r="34" spans="1:8" ht="18" customHeight="1" x14ac:dyDescent="0.3">
      <c r="A34" s="373"/>
      <c r="B34" s="373"/>
      <c r="C34" s="373"/>
      <c r="D34" s="46" t="s">
        <v>1496</v>
      </c>
      <c r="E34" s="283">
        <f t="shared" si="0"/>
        <v>1.28060263653484</v>
      </c>
      <c r="F34" s="84">
        <v>6800000</v>
      </c>
      <c r="G34" s="46"/>
      <c r="H34" s="45" t="s">
        <v>1876</v>
      </c>
    </row>
    <row r="35" spans="1:8" ht="18" customHeight="1" x14ac:dyDescent="0.3">
      <c r="A35" s="373"/>
      <c r="B35" s="373"/>
      <c r="C35" s="373"/>
      <c r="D35" s="46" t="s">
        <v>1877</v>
      </c>
      <c r="E35" s="283">
        <f t="shared" si="0"/>
        <v>1.3559322033898304</v>
      </c>
      <c r="F35" s="84">
        <v>7200000</v>
      </c>
      <c r="G35" s="46"/>
      <c r="H35" s="45" t="s">
        <v>1878</v>
      </c>
    </row>
    <row r="36" spans="1:8" ht="18" customHeight="1" x14ac:dyDescent="0.3">
      <c r="A36" s="373">
        <v>7</v>
      </c>
      <c r="B36" s="388" t="s">
        <v>1883</v>
      </c>
      <c r="C36" s="373" t="s">
        <v>2014</v>
      </c>
      <c r="D36" s="46" t="s">
        <v>1493</v>
      </c>
      <c r="E36" s="283">
        <f t="shared" si="0"/>
        <v>1.0734463276836159</v>
      </c>
      <c r="F36" s="84">
        <v>5700000</v>
      </c>
      <c r="G36" s="284" t="s">
        <v>1867</v>
      </c>
      <c r="H36" s="45" t="s">
        <v>1873</v>
      </c>
    </row>
    <row r="37" spans="1:8" ht="18" customHeight="1" x14ac:dyDescent="0.3">
      <c r="A37" s="373"/>
      <c r="B37" s="373"/>
      <c r="C37" s="373"/>
      <c r="D37" s="46" t="s">
        <v>1494</v>
      </c>
      <c r="E37" s="283">
        <f t="shared" si="0"/>
        <v>1.1393596986817325</v>
      </c>
      <c r="F37" s="84">
        <v>6050000</v>
      </c>
      <c r="G37" s="46"/>
      <c r="H37" s="45" t="s">
        <v>1874</v>
      </c>
    </row>
    <row r="38" spans="1:8" ht="18" customHeight="1" x14ac:dyDescent="0.3">
      <c r="A38" s="373"/>
      <c r="B38" s="373"/>
      <c r="C38" s="373"/>
      <c r="D38" s="46" t="s">
        <v>1495</v>
      </c>
      <c r="E38" s="283">
        <f t="shared" si="0"/>
        <v>1.2052730696798493</v>
      </c>
      <c r="F38" s="84">
        <v>6400000</v>
      </c>
      <c r="G38" s="46"/>
      <c r="H38" s="45" t="s">
        <v>1875</v>
      </c>
    </row>
    <row r="39" spans="1:8" ht="18" customHeight="1" x14ac:dyDescent="0.3">
      <c r="A39" s="373"/>
      <c r="B39" s="373"/>
      <c r="C39" s="373"/>
      <c r="D39" s="46" t="s">
        <v>1496</v>
      </c>
      <c r="E39" s="283">
        <f t="shared" si="0"/>
        <v>1.28060263653484</v>
      </c>
      <c r="F39" s="84">
        <v>6800000</v>
      </c>
      <c r="G39" s="46"/>
      <c r="H39" s="45" t="s">
        <v>1876</v>
      </c>
    </row>
    <row r="40" spans="1:8" ht="18" customHeight="1" x14ac:dyDescent="0.3">
      <c r="A40" s="373"/>
      <c r="B40" s="373"/>
      <c r="C40" s="373"/>
      <c r="D40" s="46" t="s">
        <v>1877</v>
      </c>
      <c r="E40" s="283">
        <f t="shared" si="0"/>
        <v>1.3559322033898304</v>
      </c>
      <c r="F40" s="84">
        <v>7200000</v>
      </c>
      <c r="G40" s="46"/>
      <c r="H40" s="45" t="s">
        <v>1878</v>
      </c>
    </row>
    <row r="41" spans="1:8" ht="18" customHeight="1" x14ac:dyDescent="0.3">
      <c r="A41" s="373">
        <v>8</v>
      </c>
      <c r="B41" s="388" t="s">
        <v>1889</v>
      </c>
      <c r="C41" s="373" t="s">
        <v>1890</v>
      </c>
      <c r="D41" s="46" t="s">
        <v>1493</v>
      </c>
      <c r="E41" s="283">
        <f t="shared" si="0"/>
        <v>1.0734463276836159</v>
      </c>
      <c r="F41" s="84">
        <v>5700000</v>
      </c>
      <c r="G41" s="284" t="s">
        <v>1867</v>
      </c>
      <c r="H41" s="45" t="s">
        <v>1891</v>
      </c>
    </row>
    <row r="42" spans="1:8" ht="18" customHeight="1" x14ac:dyDescent="0.3">
      <c r="A42" s="373"/>
      <c r="B42" s="373"/>
      <c r="C42" s="373"/>
      <c r="D42" s="46" t="s">
        <v>1494</v>
      </c>
      <c r="E42" s="283">
        <f t="shared" si="0"/>
        <v>1.1393596986817325</v>
      </c>
      <c r="F42" s="84">
        <v>6050000</v>
      </c>
      <c r="G42" s="46"/>
      <c r="H42" s="45" t="s">
        <v>1874</v>
      </c>
    </row>
    <row r="43" spans="1:8" ht="18" customHeight="1" x14ac:dyDescent="0.3">
      <c r="A43" s="373"/>
      <c r="B43" s="373"/>
      <c r="C43" s="373"/>
      <c r="D43" s="46" t="s">
        <v>1495</v>
      </c>
      <c r="E43" s="283">
        <f t="shared" si="0"/>
        <v>1.2052730696798493</v>
      </c>
      <c r="F43" s="84">
        <v>6400000</v>
      </c>
      <c r="G43" s="46"/>
      <c r="H43" s="45" t="s">
        <v>1875</v>
      </c>
    </row>
    <row r="44" spans="1:8" ht="18" customHeight="1" x14ac:dyDescent="0.3">
      <c r="A44" s="373"/>
      <c r="B44" s="373"/>
      <c r="C44" s="373"/>
      <c r="D44" s="46" t="s">
        <v>1496</v>
      </c>
      <c r="E44" s="283">
        <f t="shared" si="0"/>
        <v>1.28060263653484</v>
      </c>
      <c r="F44" s="84">
        <v>6800000</v>
      </c>
      <c r="G44" s="46"/>
      <c r="H44" s="45" t="s">
        <v>1876</v>
      </c>
    </row>
    <row r="45" spans="1:8" ht="18" customHeight="1" x14ac:dyDescent="0.3">
      <c r="A45" s="373"/>
      <c r="B45" s="373"/>
      <c r="C45" s="373"/>
      <c r="D45" s="46" t="s">
        <v>1877</v>
      </c>
      <c r="E45" s="283">
        <f t="shared" si="0"/>
        <v>1.3559322033898304</v>
      </c>
      <c r="F45" s="84">
        <v>7200000</v>
      </c>
      <c r="G45" s="46"/>
      <c r="H45" s="45" t="s">
        <v>1878</v>
      </c>
    </row>
    <row r="46" spans="1:8" ht="18" customHeight="1" x14ac:dyDescent="0.3">
      <c r="A46" s="373">
        <v>9</v>
      </c>
      <c r="B46" s="388" t="s">
        <v>1892</v>
      </c>
      <c r="C46" s="373" t="s">
        <v>1884</v>
      </c>
      <c r="D46" s="46" t="s">
        <v>1493</v>
      </c>
      <c r="E46" s="283">
        <f t="shared" si="0"/>
        <v>1</v>
      </c>
      <c r="F46" s="84">
        <v>5310000</v>
      </c>
      <c r="G46" s="46"/>
      <c r="H46" s="45" t="s">
        <v>1885</v>
      </c>
    </row>
    <row r="47" spans="1:8" ht="18" customHeight="1" x14ac:dyDescent="0.3">
      <c r="A47" s="373"/>
      <c r="B47" s="373"/>
      <c r="C47" s="373"/>
      <c r="D47" s="46" t="s">
        <v>1494</v>
      </c>
      <c r="E47" s="283">
        <f t="shared" si="0"/>
        <v>1.0734463276836159</v>
      </c>
      <c r="F47" s="84">
        <v>5700000</v>
      </c>
      <c r="G47" s="284" t="s">
        <v>1867</v>
      </c>
      <c r="H47" s="45" t="s">
        <v>1893</v>
      </c>
    </row>
    <row r="48" spans="1:8" ht="18" customHeight="1" x14ac:dyDescent="0.3">
      <c r="A48" s="373"/>
      <c r="B48" s="373"/>
      <c r="C48" s="373"/>
      <c r="D48" s="46" t="s">
        <v>1495</v>
      </c>
      <c r="E48" s="283">
        <f t="shared" si="0"/>
        <v>1.1393596986817325</v>
      </c>
      <c r="F48" s="84">
        <v>6050000</v>
      </c>
      <c r="G48" s="46"/>
      <c r="H48" s="45" t="s">
        <v>1886</v>
      </c>
    </row>
    <row r="49" spans="1:8" ht="18" customHeight="1" x14ac:dyDescent="0.3">
      <c r="A49" s="373"/>
      <c r="B49" s="373"/>
      <c r="C49" s="373"/>
      <c r="D49" s="46" t="s">
        <v>1496</v>
      </c>
      <c r="E49" s="283">
        <f t="shared" si="0"/>
        <v>1.2052730696798493</v>
      </c>
      <c r="F49" s="84">
        <v>6400000</v>
      </c>
      <c r="G49" s="46"/>
      <c r="H49" s="45" t="s">
        <v>1887</v>
      </c>
    </row>
    <row r="50" spans="1:8" ht="18" customHeight="1" x14ac:dyDescent="0.3">
      <c r="A50" s="373"/>
      <c r="B50" s="373"/>
      <c r="C50" s="373"/>
      <c r="D50" s="46" t="s">
        <v>1877</v>
      </c>
      <c r="E50" s="283">
        <f t="shared" si="0"/>
        <v>1.28060263653484</v>
      </c>
      <c r="F50" s="84">
        <v>6800000</v>
      </c>
      <c r="G50" s="46"/>
      <c r="H50" s="45" t="s">
        <v>1888</v>
      </c>
    </row>
    <row r="52" spans="1:8" ht="15" customHeight="1" x14ac:dyDescent="0.3">
      <c r="A52" s="390" t="s">
        <v>1894</v>
      </c>
      <c r="B52" s="390"/>
      <c r="C52" s="390"/>
      <c r="D52" s="390"/>
      <c r="E52" s="390"/>
      <c r="F52" s="390"/>
      <c r="G52" s="390"/>
      <c r="H52" s="390"/>
    </row>
    <row r="53" spans="1:8" ht="15" customHeight="1" x14ac:dyDescent="0.3">
      <c r="A53" s="389" t="s">
        <v>1895</v>
      </c>
      <c r="B53" s="389"/>
      <c r="C53" s="389"/>
      <c r="D53" s="389"/>
      <c r="E53" s="389"/>
      <c r="F53" s="389"/>
      <c r="G53" s="389"/>
      <c r="H53" s="389"/>
    </row>
    <row r="54" spans="1:8" ht="15" customHeight="1" x14ac:dyDescent="0.3">
      <c r="A54" s="389" t="s">
        <v>1896</v>
      </c>
      <c r="B54" s="389"/>
      <c r="C54" s="389"/>
      <c r="D54" s="389"/>
      <c r="E54" s="389"/>
      <c r="F54" s="389"/>
      <c r="G54" s="389"/>
      <c r="H54" s="389"/>
    </row>
    <row r="55" spans="1:8" ht="15" customHeight="1" x14ac:dyDescent="0.3">
      <c r="A55" s="389" t="s">
        <v>1897</v>
      </c>
      <c r="B55" s="389"/>
      <c r="C55" s="389"/>
      <c r="D55" s="389"/>
      <c r="E55" s="389"/>
      <c r="F55" s="389"/>
      <c r="G55" s="389"/>
      <c r="H55" s="389"/>
    </row>
    <row r="56" spans="1:8" ht="15" customHeight="1" x14ac:dyDescent="0.3">
      <c r="A56" s="389" t="s">
        <v>1898</v>
      </c>
      <c r="B56" s="389"/>
      <c r="C56" s="389"/>
      <c r="D56" s="389"/>
      <c r="E56" s="389"/>
      <c r="F56" s="389"/>
      <c r="G56" s="389"/>
      <c r="H56" s="389"/>
    </row>
    <row r="59" spans="1:8" ht="15" customHeight="1" x14ac:dyDescent="0.3">
      <c r="B59" s="285" t="s">
        <v>130</v>
      </c>
      <c r="E59" s="286" t="s">
        <v>129</v>
      </c>
      <c r="G59" s="285" t="s">
        <v>195</v>
      </c>
    </row>
  </sheetData>
  <mergeCells count="37">
    <mergeCell ref="A54:H54"/>
    <mergeCell ref="A55:H55"/>
    <mergeCell ref="A56:H56"/>
    <mergeCell ref="A46:A50"/>
    <mergeCell ref="B46:B50"/>
    <mergeCell ref="C46:C50"/>
    <mergeCell ref="A52:H52"/>
    <mergeCell ref="A53:H53"/>
    <mergeCell ref="A36:A40"/>
    <mergeCell ref="B36:B40"/>
    <mergeCell ref="C36:C40"/>
    <mergeCell ref="A41:A45"/>
    <mergeCell ref="B41:B45"/>
    <mergeCell ref="C41:C45"/>
    <mergeCell ref="A26:A30"/>
    <mergeCell ref="B26:B30"/>
    <mergeCell ref="C26:C30"/>
    <mergeCell ref="A31:A35"/>
    <mergeCell ref="B31:B35"/>
    <mergeCell ref="C31:C35"/>
    <mergeCell ref="A16:A20"/>
    <mergeCell ref="B16:B20"/>
    <mergeCell ref="C16:C20"/>
    <mergeCell ref="A21:A25"/>
    <mergeCell ref="B21:B25"/>
    <mergeCell ref="C21:C25"/>
    <mergeCell ref="A8:A10"/>
    <mergeCell ref="B8:B10"/>
    <mergeCell ref="C8:C10"/>
    <mergeCell ref="A11:A15"/>
    <mergeCell ref="B11:B15"/>
    <mergeCell ref="C11:C15"/>
    <mergeCell ref="A1:H1"/>
    <mergeCell ref="A2:H2"/>
    <mergeCell ref="A3:H3"/>
    <mergeCell ref="A5:D5"/>
    <mergeCell ref="F5:H5"/>
  </mergeCells>
  <pageMargins left="0.7" right="0.7" top="0.75" bottom="0.75" header="0.511811023622047" footer="0.511811023622047"/>
  <pageSetup paperSize="9" scale="54" orientation="portrait" horizontalDpi="300" verticalDpi="300"/>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030A0"/>
    <pageSetUpPr fitToPage="1"/>
  </sheetPr>
  <dimension ref="A2:F46"/>
  <sheetViews>
    <sheetView zoomScaleNormal="100" workbookViewId="0">
      <selection activeCell="F69" sqref="F69"/>
    </sheetView>
  </sheetViews>
  <sheetFormatPr defaultColWidth="8.6640625" defaultRowHeight="14.4" x14ac:dyDescent="0.3"/>
  <cols>
    <col min="1" max="1" width="16" customWidth="1"/>
    <col min="2" max="2" width="15" customWidth="1"/>
    <col min="3" max="5" width="16" customWidth="1"/>
    <col min="6" max="6" width="14" customWidth="1"/>
  </cols>
  <sheetData>
    <row r="2" spans="1:6" ht="29.25" customHeight="1" x14ac:dyDescent="0.3">
      <c r="A2" s="287" t="s">
        <v>243</v>
      </c>
      <c r="C2" s="349" t="s">
        <v>244</v>
      </c>
      <c r="D2" s="349"/>
      <c r="E2" s="349"/>
      <c r="F2" s="349"/>
    </row>
    <row r="3" spans="1:6" ht="15.75" customHeight="1" x14ac:dyDescent="0.3">
      <c r="C3" s="353" t="s">
        <v>246</v>
      </c>
      <c r="D3" s="353"/>
      <c r="E3" s="353"/>
      <c r="F3" s="353"/>
    </row>
    <row r="4" spans="1:6" ht="15.75" customHeight="1" x14ac:dyDescent="0.3">
      <c r="A4" s="256" t="s">
        <v>1899</v>
      </c>
      <c r="C4" s="359" t="s">
        <v>1900</v>
      </c>
      <c r="D4" s="359"/>
      <c r="E4" s="359"/>
      <c r="F4" s="359"/>
    </row>
    <row r="6" spans="1:6" ht="24" customHeight="1" x14ac:dyDescent="0.3">
      <c r="A6" s="354" t="s">
        <v>1901</v>
      </c>
      <c r="B6" s="354"/>
      <c r="C6" s="354"/>
      <c r="D6" s="354"/>
      <c r="E6" s="354"/>
      <c r="F6" s="354"/>
    </row>
    <row r="7" spans="1:6" ht="15.75" customHeight="1" x14ac:dyDescent="0.3">
      <c r="A7" s="353" t="s">
        <v>1902</v>
      </c>
      <c r="B7" s="353"/>
      <c r="C7" s="353"/>
      <c r="D7" s="353"/>
      <c r="E7" s="353"/>
      <c r="F7" s="353"/>
    </row>
    <row r="9" spans="1:6" ht="15.75" customHeight="1" x14ac:dyDescent="0.3">
      <c r="A9" s="348" t="s">
        <v>1903</v>
      </c>
      <c r="B9" s="348"/>
      <c r="C9" s="348"/>
      <c r="D9" s="348"/>
      <c r="E9" s="348"/>
      <c r="F9" s="348"/>
    </row>
    <row r="10" spans="1:6" ht="15.75" customHeight="1" x14ac:dyDescent="0.3">
      <c r="A10" s="350" t="s">
        <v>1904</v>
      </c>
      <c r="B10" s="350"/>
      <c r="C10" s="350"/>
      <c r="D10" s="350"/>
      <c r="E10" s="350"/>
      <c r="F10" s="350"/>
    </row>
    <row r="11" spans="1:6" ht="63" customHeight="1" x14ac:dyDescent="0.3">
      <c r="A11" s="350" t="s">
        <v>1905</v>
      </c>
      <c r="B11" s="350"/>
      <c r="C11" s="350"/>
      <c r="D11" s="350"/>
      <c r="E11" s="350"/>
      <c r="F11" s="350"/>
    </row>
    <row r="12" spans="1:6" ht="47.25" customHeight="1" x14ac:dyDescent="0.3">
      <c r="A12" s="350" t="s">
        <v>1906</v>
      </c>
      <c r="B12" s="350"/>
      <c r="C12" s="350"/>
      <c r="D12" s="350"/>
      <c r="E12" s="350"/>
      <c r="F12" s="350"/>
    </row>
    <row r="13" spans="1:6" ht="15.75" customHeight="1" x14ac:dyDescent="0.3">
      <c r="A13" s="350" t="s">
        <v>1907</v>
      </c>
      <c r="B13" s="350"/>
      <c r="C13" s="350"/>
      <c r="D13" s="350"/>
      <c r="E13" s="350"/>
      <c r="F13" s="350"/>
    </row>
    <row r="14" spans="1:6" ht="15.75" customHeight="1" x14ac:dyDescent="0.3">
      <c r="A14" s="350" t="s">
        <v>1908</v>
      </c>
      <c r="B14" s="350"/>
      <c r="C14" s="350"/>
      <c r="D14" s="350"/>
      <c r="E14" s="350"/>
      <c r="F14" s="350"/>
    </row>
    <row r="15" spans="1:6" ht="15.75" customHeight="1" x14ac:dyDescent="0.3">
      <c r="A15" s="350" t="s">
        <v>1909</v>
      </c>
      <c r="B15" s="350"/>
      <c r="C15" s="350"/>
      <c r="D15" s="350"/>
      <c r="E15" s="350"/>
      <c r="F15" s="350"/>
    </row>
    <row r="16" spans="1:6" ht="25.5" customHeight="1" x14ac:dyDescent="0.3">
      <c r="A16" s="350" t="s">
        <v>1910</v>
      </c>
      <c r="B16" s="350"/>
      <c r="C16" s="350"/>
      <c r="D16" s="350"/>
      <c r="E16" s="350"/>
      <c r="F16" s="350"/>
    </row>
    <row r="17" spans="1:6" ht="15.75" customHeight="1" x14ac:dyDescent="0.3">
      <c r="A17" s="391" t="s">
        <v>1911</v>
      </c>
      <c r="B17" s="391"/>
      <c r="C17" s="391"/>
      <c r="D17" s="391"/>
      <c r="E17" s="391"/>
      <c r="F17" s="391"/>
    </row>
    <row r="19" spans="1:6" ht="31.5" customHeight="1" x14ac:dyDescent="0.3">
      <c r="A19" s="348" t="s">
        <v>1912</v>
      </c>
      <c r="B19" s="348"/>
      <c r="C19" s="348"/>
      <c r="D19" s="348"/>
      <c r="E19" s="348"/>
      <c r="F19" s="348"/>
    </row>
    <row r="21" spans="1:6" ht="15.75" customHeight="1" x14ac:dyDescent="0.3">
      <c r="A21" s="355" t="s">
        <v>1913</v>
      </c>
      <c r="B21" s="355"/>
      <c r="C21" s="355"/>
      <c r="D21" s="355"/>
      <c r="E21" s="355"/>
      <c r="F21" s="355"/>
    </row>
    <row r="22" spans="1:6" ht="23.25" customHeight="1" x14ac:dyDescent="0.3">
      <c r="A22" s="348" t="s">
        <v>1914</v>
      </c>
      <c r="B22" s="348"/>
      <c r="C22" s="348"/>
      <c r="D22" s="348"/>
      <c r="E22" s="348"/>
      <c r="F22" s="348"/>
    </row>
    <row r="23" spans="1:6" ht="23.25" customHeight="1" x14ac:dyDescent="0.3">
      <c r="A23" s="350" t="s">
        <v>1915</v>
      </c>
      <c r="B23" s="350"/>
      <c r="C23" s="350"/>
      <c r="D23" s="350"/>
      <c r="E23" s="350"/>
      <c r="F23" s="350"/>
    </row>
    <row r="24" spans="1:6" ht="46.5" customHeight="1" x14ac:dyDescent="0.3">
      <c r="A24" s="355" t="s">
        <v>1916</v>
      </c>
      <c r="B24" s="355"/>
      <c r="C24" s="355"/>
      <c r="D24" s="355"/>
      <c r="E24" s="355"/>
      <c r="F24" s="355"/>
    </row>
    <row r="25" spans="1:6" ht="46.5" customHeight="1" x14ac:dyDescent="0.3">
      <c r="A25" s="355" t="s">
        <v>1917</v>
      </c>
      <c r="B25" s="355"/>
      <c r="C25" s="355"/>
      <c r="D25" s="355"/>
      <c r="E25" s="355"/>
      <c r="F25" s="355"/>
    </row>
    <row r="26" spans="1:6" ht="46.5" customHeight="1" x14ac:dyDescent="0.3">
      <c r="A26" s="355" t="s">
        <v>1918</v>
      </c>
      <c r="B26" s="355"/>
      <c r="C26" s="355"/>
      <c r="D26" s="355"/>
      <c r="E26" s="355"/>
      <c r="F26" s="355"/>
    </row>
    <row r="27" spans="1:6" ht="38.25" customHeight="1" x14ac:dyDescent="0.3">
      <c r="A27" s="348" t="s">
        <v>1919</v>
      </c>
      <c r="B27" s="348"/>
      <c r="C27" s="348"/>
      <c r="D27" s="348"/>
      <c r="E27" s="348"/>
      <c r="F27" s="348"/>
    </row>
    <row r="28" spans="1:6" ht="27.75" customHeight="1" x14ac:dyDescent="0.3">
      <c r="A28" s="350" t="s">
        <v>1920</v>
      </c>
      <c r="B28" s="350"/>
      <c r="C28" s="350"/>
      <c r="D28" s="350"/>
      <c r="E28" s="350"/>
      <c r="F28" s="350"/>
    </row>
    <row r="29" spans="1:6" ht="52.5" customHeight="1" x14ac:dyDescent="0.3">
      <c r="A29" s="355" t="s">
        <v>1921</v>
      </c>
      <c r="B29" s="355"/>
      <c r="C29" s="355"/>
      <c r="D29" s="355"/>
      <c r="E29" s="355"/>
      <c r="F29" s="355"/>
    </row>
    <row r="30" spans="1:6" ht="144.75" customHeight="1" x14ac:dyDescent="0.3">
      <c r="A30" s="355" t="s">
        <v>1922</v>
      </c>
      <c r="B30" s="355"/>
      <c r="C30" s="355"/>
      <c r="D30" s="355"/>
      <c r="E30" s="355"/>
      <c r="F30" s="355"/>
    </row>
    <row r="31" spans="1:6" ht="49.5" customHeight="1" x14ac:dyDescent="0.3">
      <c r="A31" s="355" t="s">
        <v>1923</v>
      </c>
      <c r="B31" s="355"/>
      <c r="C31" s="355"/>
      <c r="D31" s="355"/>
      <c r="E31" s="355"/>
      <c r="F31" s="355"/>
    </row>
    <row r="32" spans="1:6" ht="33.75" customHeight="1" x14ac:dyDescent="0.3">
      <c r="A32" s="355" t="s">
        <v>1924</v>
      </c>
      <c r="B32" s="355"/>
      <c r="C32" s="355"/>
      <c r="D32" s="355"/>
      <c r="E32" s="355"/>
      <c r="F32" s="355"/>
    </row>
    <row r="33" spans="1:6" ht="33.75" customHeight="1" x14ac:dyDescent="0.3">
      <c r="A33" s="355" t="s">
        <v>1925</v>
      </c>
      <c r="B33" s="355"/>
      <c r="C33" s="355"/>
      <c r="D33" s="355"/>
      <c r="E33" s="355"/>
      <c r="F33" s="355"/>
    </row>
    <row r="34" spans="1:6" ht="36.75" customHeight="1" x14ac:dyDescent="0.3">
      <c r="A34" s="348" t="s">
        <v>1926</v>
      </c>
      <c r="B34" s="348"/>
      <c r="C34" s="348"/>
      <c r="D34" s="348"/>
      <c r="E34" s="348"/>
      <c r="F34" s="348"/>
    </row>
    <row r="35" spans="1:6" ht="36.75" customHeight="1" x14ac:dyDescent="0.3">
      <c r="A35" s="350" t="s">
        <v>1927</v>
      </c>
      <c r="B35" s="350"/>
      <c r="C35" s="350"/>
      <c r="D35" s="350"/>
      <c r="E35" s="350"/>
      <c r="F35" s="350"/>
    </row>
    <row r="36" spans="1:6" ht="46.5" customHeight="1" x14ac:dyDescent="0.3">
      <c r="A36" s="355" t="s">
        <v>1921</v>
      </c>
      <c r="B36" s="355"/>
      <c r="C36" s="355"/>
      <c r="D36" s="355"/>
      <c r="E36" s="355"/>
      <c r="F36" s="355"/>
    </row>
    <row r="37" spans="1:6" ht="49.5" customHeight="1" x14ac:dyDescent="0.3">
      <c r="A37" s="355" t="s">
        <v>1928</v>
      </c>
      <c r="B37" s="355"/>
      <c r="C37" s="355"/>
      <c r="D37" s="355"/>
      <c r="E37" s="355"/>
      <c r="F37" s="355"/>
    </row>
    <row r="38" spans="1:6" ht="43.5" customHeight="1" x14ac:dyDescent="0.3">
      <c r="A38" s="355" t="s">
        <v>1929</v>
      </c>
      <c r="B38" s="355"/>
      <c r="C38" s="355"/>
      <c r="D38" s="355"/>
      <c r="E38" s="355"/>
      <c r="F38" s="355"/>
    </row>
    <row r="39" spans="1:6" ht="80.25" customHeight="1" x14ac:dyDescent="0.3">
      <c r="A39" s="355" t="s">
        <v>1930</v>
      </c>
      <c r="B39" s="355"/>
      <c r="C39" s="355"/>
      <c r="D39" s="355"/>
      <c r="E39" s="355"/>
      <c r="F39" s="355"/>
    </row>
    <row r="41" spans="1:6" ht="61.5" customHeight="1" x14ac:dyDescent="0.3">
      <c r="A41" s="355" t="s">
        <v>1931</v>
      </c>
      <c r="B41" s="355"/>
      <c r="C41" s="355"/>
      <c r="D41" s="355"/>
      <c r="E41" s="355"/>
      <c r="F41" s="355"/>
    </row>
    <row r="42" spans="1:6" ht="27" customHeight="1" x14ac:dyDescent="0.3">
      <c r="C42" s="392"/>
      <c r="D42" s="392"/>
      <c r="E42" s="392"/>
      <c r="F42" s="392"/>
    </row>
    <row r="43" spans="1:6" ht="27" customHeight="1" x14ac:dyDescent="0.3"/>
    <row r="44" spans="1:6" ht="15.75" customHeight="1" x14ac:dyDescent="0.3">
      <c r="A44" s="252" t="s">
        <v>1932</v>
      </c>
      <c r="D44" s="253" t="s">
        <v>195</v>
      </c>
    </row>
    <row r="45" spans="1:6" ht="26.25" customHeight="1" x14ac:dyDescent="0.3">
      <c r="A45" s="256" t="s">
        <v>1933</v>
      </c>
      <c r="D45" s="288" t="s">
        <v>1934</v>
      </c>
    </row>
    <row r="46" spans="1:6" ht="29.25" customHeight="1" x14ac:dyDescent="0.3">
      <c r="A46" s="289" t="s">
        <v>1935</v>
      </c>
    </row>
  </sheetData>
  <mergeCells count="36">
    <mergeCell ref="C42:F42"/>
    <mergeCell ref="A36:F36"/>
    <mergeCell ref="A37:F37"/>
    <mergeCell ref="A38:F38"/>
    <mergeCell ref="A39:F39"/>
    <mergeCell ref="A41:F41"/>
    <mergeCell ref="A31:F31"/>
    <mergeCell ref="A32:F32"/>
    <mergeCell ref="A33:F33"/>
    <mergeCell ref="A34:F34"/>
    <mergeCell ref="A35:F35"/>
    <mergeCell ref="A26:F26"/>
    <mergeCell ref="A27:F27"/>
    <mergeCell ref="A28:F28"/>
    <mergeCell ref="A29:F29"/>
    <mergeCell ref="A30:F30"/>
    <mergeCell ref="A21:F21"/>
    <mergeCell ref="A22:F22"/>
    <mergeCell ref="A23:F23"/>
    <mergeCell ref="A24:F24"/>
    <mergeCell ref="A25:F25"/>
    <mergeCell ref="A14:F14"/>
    <mergeCell ref="A15:F15"/>
    <mergeCell ref="A16:F16"/>
    <mergeCell ref="A17:F17"/>
    <mergeCell ref="A19:F19"/>
    <mergeCell ref="A9:F9"/>
    <mergeCell ref="A10:F10"/>
    <mergeCell ref="A11:F11"/>
    <mergeCell ref="A12:F12"/>
    <mergeCell ref="A13:F13"/>
    <mergeCell ref="C2:F2"/>
    <mergeCell ref="C3:F3"/>
    <mergeCell ref="C4:F4"/>
    <mergeCell ref="A6:F6"/>
    <mergeCell ref="A7:F7"/>
  </mergeCells>
  <pageMargins left="0.75" right="0.75" top="1" bottom="1" header="0.511811023622047" footer="0.511811023622047"/>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030A0"/>
    <pageSetUpPr fitToPage="1"/>
  </sheetPr>
  <dimension ref="A1:F53"/>
  <sheetViews>
    <sheetView showGridLines="0" zoomScaleNormal="100" workbookViewId="0">
      <selection activeCell="M14" sqref="M14"/>
    </sheetView>
  </sheetViews>
  <sheetFormatPr defaultColWidth="8.6640625" defaultRowHeight="14.4" x14ac:dyDescent="0.3"/>
  <cols>
    <col min="1" max="5" width="16" customWidth="1"/>
    <col min="6" max="6" width="20.88671875" customWidth="1"/>
  </cols>
  <sheetData>
    <row r="1" spans="1:6" ht="19.5" customHeight="1" x14ac:dyDescent="0.3">
      <c r="A1" s="349" t="s">
        <v>1936</v>
      </c>
      <c r="B1" s="349"/>
      <c r="C1" s="349"/>
      <c r="D1" s="349" t="s">
        <v>244</v>
      </c>
      <c r="E1" s="349"/>
      <c r="F1" s="349"/>
    </row>
    <row r="2" spans="1:6" ht="19.5" customHeight="1" x14ac:dyDescent="0.3">
      <c r="A2" s="393"/>
      <c r="B2" s="393"/>
      <c r="C2" s="393"/>
      <c r="D2" s="394" t="s">
        <v>246</v>
      </c>
      <c r="E2" s="394"/>
      <c r="F2" s="394"/>
    </row>
    <row r="3" spans="1:6" ht="19.5" customHeight="1" x14ac:dyDescent="0.3"/>
    <row r="4" spans="1:6" ht="19.5" customHeight="1" x14ac:dyDescent="0.3">
      <c r="A4" s="395" t="s">
        <v>1937</v>
      </c>
      <c r="B4" s="395"/>
      <c r="C4" s="395"/>
      <c r="D4" s="396" t="s">
        <v>1938</v>
      </c>
      <c r="E4" s="396"/>
      <c r="F4" s="396"/>
    </row>
    <row r="5" spans="1:6" ht="19.5" customHeight="1" x14ac:dyDescent="0.3"/>
    <row r="6" spans="1:6" ht="19.5" customHeight="1" x14ac:dyDescent="0.3">
      <c r="A6" s="369" t="s">
        <v>1901</v>
      </c>
      <c r="B6" s="369"/>
      <c r="C6" s="369"/>
      <c r="D6" s="369"/>
      <c r="E6" s="369"/>
      <c r="F6" s="369"/>
    </row>
    <row r="7" spans="1:6" ht="19.5" customHeight="1" x14ac:dyDescent="0.3">
      <c r="A7" s="353" t="s">
        <v>1939</v>
      </c>
      <c r="B7" s="353"/>
      <c r="C7" s="353"/>
      <c r="D7" s="353"/>
      <c r="E7" s="353"/>
      <c r="F7" s="353"/>
    </row>
    <row r="8" spans="1:6" ht="19.5" customHeight="1" x14ac:dyDescent="0.3">
      <c r="A8" s="353" t="s">
        <v>1940</v>
      </c>
      <c r="B8" s="353"/>
      <c r="C8" s="353"/>
      <c r="D8" s="353"/>
      <c r="E8" s="353"/>
      <c r="F8" s="353"/>
    </row>
    <row r="9" spans="1:6" ht="19.5" customHeight="1" x14ac:dyDescent="0.3"/>
    <row r="10" spans="1:6" ht="19.5" customHeight="1" x14ac:dyDescent="0.3">
      <c r="A10" s="355" t="s">
        <v>1941</v>
      </c>
      <c r="B10" s="355"/>
      <c r="C10" s="355"/>
      <c r="D10" s="355"/>
      <c r="E10" s="355"/>
      <c r="F10" s="355"/>
    </row>
    <row r="11" spans="1:6" ht="19.5" customHeight="1" x14ac:dyDescent="0.3">
      <c r="A11" s="355" t="s">
        <v>1942</v>
      </c>
      <c r="B11" s="355"/>
      <c r="C11" s="355"/>
      <c r="D11" s="355"/>
      <c r="E11" s="355"/>
      <c r="F11" s="355"/>
    </row>
    <row r="12" spans="1:6" ht="19.5" customHeight="1" x14ac:dyDescent="0.3">
      <c r="A12" s="355" t="s">
        <v>1943</v>
      </c>
      <c r="B12" s="355"/>
      <c r="C12" s="355"/>
      <c r="D12" s="355"/>
      <c r="E12" s="355"/>
      <c r="F12" s="355"/>
    </row>
    <row r="13" spans="1:6" ht="19.5" customHeight="1" x14ac:dyDescent="0.3"/>
    <row r="14" spans="1:6" ht="19.5" customHeight="1" x14ac:dyDescent="0.3">
      <c r="A14" s="349" t="s">
        <v>1944</v>
      </c>
      <c r="B14" s="349"/>
      <c r="C14" s="349"/>
      <c r="D14" s="349"/>
      <c r="E14" s="349"/>
      <c r="F14" s="349"/>
    </row>
    <row r="15" spans="1:6" ht="19.5" customHeight="1" x14ac:dyDescent="0.3">
      <c r="A15" s="349" t="s">
        <v>1901</v>
      </c>
      <c r="B15" s="349"/>
      <c r="C15" s="349"/>
      <c r="D15" s="349"/>
      <c r="E15" s="349"/>
      <c r="F15" s="349"/>
    </row>
    <row r="16" spans="1:6" ht="19.5" customHeight="1" x14ac:dyDescent="0.3"/>
    <row r="17" spans="1:6" ht="19.5" customHeight="1" x14ac:dyDescent="0.3">
      <c r="A17" s="356" t="s">
        <v>1945</v>
      </c>
      <c r="B17" s="356"/>
      <c r="C17" s="356"/>
      <c r="D17" s="356"/>
      <c r="E17" s="356"/>
      <c r="F17" s="356"/>
    </row>
    <row r="18" spans="1:6" ht="19.5" customHeight="1" x14ac:dyDescent="0.3">
      <c r="A18" s="355" t="s">
        <v>1946</v>
      </c>
      <c r="B18" s="355"/>
      <c r="C18" s="355"/>
      <c r="D18" s="355"/>
      <c r="E18" s="355"/>
      <c r="F18" s="355"/>
    </row>
    <row r="19" spans="1:6" ht="19.5" customHeight="1" x14ac:dyDescent="0.3">
      <c r="A19" s="355" t="s">
        <v>1947</v>
      </c>
      <c r="B19" s="355"/>
      <c r="C19" s="355"/>
      <c r="D19" s="355"/>
      <c r="E19" s="355"/>
      <c r="F19" s="355"/>
    </row>
    <row r="20" spans="1:6" ht="19.5" customHeight="1" x14ac:dyDescent="0.3">
      <c r="A20" s="355" t="s">
        <v>1948</v>
      </c>
      <c r="B20" s="355"/>
      <c r="C20" s="355"/>
      <c r="D20" s="355"/>
      <c r="E20" s="355"/>
      <c r="F20" s="355"/>
    </row>
    <row r="21" spans="1:6" ht="19.5" customHeight="1" x14ac:dyDescent="0.3">
      <c r="A21" s="355" t="s">
        <v>1949</v>
      </c>
      <c r="B21" s="355"/>
      <c r="C21" s="355"/>
      <c r="D21" s="355"/>
      <c r="E21" s="355"/>
      <c r="F21" s="355"/>
    </row>
    <row r="22" spans="1:6" ht="19.5" customHeight="1" x14ac:dyDescent="0.3">
      <c r="A22" s="355" t="s">
        <v>1950</v>
      </c>
      <c r="B22" s="355"/>
      <c r="C22" s="355"/>
      <c r="D22" s="355"/>
      <c r="E22" s="355"/>
      <c r="F22" s="355"/>
    </row>
    <row r="23" spans="1:6" ht="19.5" customHeight="1" x14ac:dyDescent="0.3">
      <c r="A23" s="355" t="s">
        <v>1951</v>
      </c>
      <c r="B23" s="355"/>
      <c r="C23" s="355"/>
      <c r="D23" s="355"/>
      <c r="E23" s="355"/>
      <c r="F23" s="355"/>
    </row>
    <row r="24" spans="1:6" ht="19.5" customHeight="1" x14ac:dyDescent="0.3"/>
    <row r="25" spans="1:6" ht="19.5" customHeight="1" x14ac:dyDescent="0.3">
      <c r="A25" s="356" t="s">
        <v>1952</v>
      </c>
      <c r="B25" s="356"/>
      <c r="C25" s="356"/>
      <c r="D25" s="356"/>
      <c r="E25" s="356"/>
      <c r="F25" s="356"/>
    </row>
    <row r="26" spans="1:6" ht="19.5" customHeight="1" x14ac:dyDescent="0.3">
      <c r="A26" s="355" t="s">
        <v>1953</v>
      </c>
      <c r="B26" s="355"/>
      <c r="C26" s="355"/>
      <c r="D26" s="355"/>
      <c r="E26" s="355"/>
      <c r="F26" s="355"/>
    </row>
    <row r="27" spans="1:6" ht="19.5" customHeight="1" x14ac:dyDescent="0.3">
      <c r="A27" s="355" t="s">
        <v>1954</v>
      </c>
      <c r="B27" s="355"/>
      <c r="C27" s="355"/>
      <c r="D27" s="355"/>
      <c r="E27" s="355"/>
      <c r="F27" s="355"/>
    </row>
    <row r="28" spans="1:6" ht="19.5" customHeight="1" x14ac:dyDescent="0.3">
      <c r="A28" s="355" t="s">
        <v>1955</v>
      </c>
      <c r="B28" s="355"/>
      <c r="C28" s="355"/>
      <c r="D28" s="355"/>
      <c r="E28" s="355"/>
      <c r="F28" s="355"/>
    </row>
    <row r="29" spans="1:6" ht="19.5" customHeight="1" x14ac:dyDescent="0.3"/>
    <row r="30" spans="1:6" ht="19.5" customHeight="1" x14ac:dyDescent="0.3">
      <c r="A30" s="356" t="s">
        <v>1956</v>
      </c>
      <c r="B30" s="356"/>
      <c r="C30" s="356"/>
      <c r="D30" s="356"/>
      <c r="E30" s="356"/>
      <c r="F30" s="356"/>
    </row>
    <row r="31" spans="1:6" ht="19.5" customHeight="1" x14ac:dyDescent="0.3">
      <c r="A31" s="355" t="s">
        <v>1957</v>
      </c>
      <c r="B31" s="355"/>
      <c r="C31" s="355"/>
      <c r="D31" s="355"/>
      <c r="E31" s="355"/>
      <c r="F31" s="355"/>
    </row>
    <row r="32" spans="1:6" ht="19.5" customHeight="1" x14ac:dyDescent="0.3">
      <c r="A32" s="355" t="s">
        <v>1958</v>
      </c>
      <c r="B32" s="355"/>
      <c r="C32" s="355"/>
      <c r="D32" s="355"/>
      <c r="E32" s="355"/>
      <c r="F32" s="355"/>
    </row>
    <row r="33" spans="1:6" ht="19.5" customHeight="1" x14ac:dyDescent="0.3">
      <c r="A33" s="355" t="s">
        <v>1959</v>
      </c>
      <c r="B33" s="355"/>
      <c r="C33" s="355"/>
      <c r="D33" s="355"/>
      <c r="E33" s="355"/>
      <c r="F33" s="355"/>
    </row>
    <row r="34" spans="1:6" ht="19.5" customHeight="1" x14ac:dyDescent="0.3">
      <c r="A34" s="355" t="s">
        <v>1960</v>
      </c>
      <c r="B34" s="355"/>
      <c r="C34" s="355"/>
      <c r="D34" s="355"/>
      <c r="E34" s="355"/>
      <c r="F34" s="355"/>
    </row>
    <row r="35" spans="1:6" ht="19.5" customHeight="1" x14ac:dyDescent="0.3">
      <c r="A35" s="355" t="s">
        <v>1961</v>
      </c>
      <c r="B35" s="355"/>
      <c r="C35" s="355"/>
      <c r="D35" s="355"/>
      <c r="E35" s="355"/>
      <c r="F35" s="355"/>
    </row>
    <row r="36" spans="1:6" ht="19.5" customHeight="1" x14ac:dyDescent="0.3">
      <c r="A36" s="355" t="s">
        <v>1962</v>
      </c>
      <c r="B36" s="355"/>
      <c r="C36" s="355"/>
      <c r="D36" s="355"/>
      <c r="E36" s="355"/>
      <c r="F36" s="355"/>
    </row>
    <row r="37" spans="1:6" ht="19.5" customHeight="1" x14ac:dyDescent="0.3">
      <c r="A37" s="355" t="s">
        <v>1963</v>
      </c>
      <c r="B37" s="355"/>
      <c r="C37" s="355"/>
      <c r="D37" s="355"/>
      <c r="E37" s="355"/>
      <c r="F37" s="355"/>
    </row>
    <row r="38" spans="1:6" ht="19.5" customHeight="1" x14ac:dyDescent="0.3"/>
    <row r="39" spans="1:6" ht="19.5" customHeight="1" x14ac:dyDescent="0.3">
      <c r="A39" s="356" t="s">
        <v>1964</v>
      </c>
      <c r="B39" s="356"/>
      <c r="C39" s="356"/>
      <c r="D39" s="356"/>
      <c r="E39" s="356"/>
      <c r="F39" s="356"/>
    </row>
    <row r="40" spans="1:6" ht="19.5" customHeight="1" x14ac:dyDescent="0.3">
      <c r="A40" s="355" t="s">
        <v>1965</v>
      </c>
      <c r="B40" s="355"/>
      <c r="C40" s="355"/>
      <c r="D40" s="355"/>
      <c r="E40" s="355"/>
      <c r="F40" s="355"/>
    </row>
    <row r="41" spans="1:6" ht="19.5" customHeight="1" x14ac:dyDescent="0.3">
      <c r="A41" s="355" t="s">
        <v>1966</v>
      </c>
      <c r="B41" s="355"/>
      <c r="C41" s="355"/>
      <c r="D41" s="355"/>
      <c r="E41" s="355"/>
      <c r="F41" s="355"/>
    </row>
    <row r="42" spans="1:6" ht="19.5" customHeight="1" x14ac:dyDescent="0.3"/>
    <row r="43" spans="1:6" ht="19.5" customHeight="1" x14ac:dyDescent="0.3">
      <c r="A43" s="356" t="s">
        <v>1967</v>
      </c>
      <c r="B43" s="356"/>
      <c r="C43" s="356"/>
      <c r="D43" s="356"/>
      <c r="E43" s="356"/>
      <c r="F43" s="356"/>
    </row>
    <row r="44" spans="1:6" ht="19.5" customHeight="1" x14ac:dyDescent="0.3">
      <c r="A44" s="355" t="s">
        <v>1968</v>
      </c>
      <c r="B44" s="355"/>
      <c r="C44" s="355"/>
      <c r="D44" s="355"/>
      <c r="E44" s="355"/>
      <c r="F44" s="355"/>
    </row>
    <row r="45" spans="1:6" ht="19.5" customHeight="1" x14ac:dyDescent="0.3">
      <c r="A45" s="355" t="s">
        <v>1969</v>
      </c>
      <c r="B45" s="355"/>
      <c r="C45" s="355"/>
      <c r="D45" s="355"/>
      <c r="E45" s="355"/>
      <c r="F45" s="355"/>
    </row>
    <row r="46" spans="1:6" ht="19.5" customHeight="1" x14ac:dyDescent="0.3"/>
    <row r="47" spans="1:6" ht="19.5" customHeight="1" x14ac:dyDescent="0.3"/>
    <row r="48" spans="1:6" ht="19.5" customHeight="1" x14ac:dyDescent="0.3">
      <c r="A48" s="399" t="s">
        <v>1932</v>
      </c>
      <c r="B48" s="399"/>
      <c r="C48" s="399"/>
      <c r="D48" s="349" t="s">
        <v>195</v>
      </c>
      <c r="E48" s="349"/>
      <c r="F48" s="349"/>
    </row>
    <row r="49" spans="1:6" ht="19.5" customHeight="1" x14ac:dyDescent="0.3">
      <c r="A49" s="397" t="s">
        <v>1970</v>
      </c>
      <c r="B49" s="397"/>
      <c r="C49" s="397"/>
      <c r="D49" s="398" t="s">
        <v>1971</v>
      </c>
      <c r="E49" s="398"/>
      <c r="F49" s="398"/>
    </row>
    <row r="50" spans="1:6" ht="19.5" customHeight="1" x14ac:dyDescent="0.3">
      <c r="A50" s="397" t="s">
        <v>1972</v>
      </c>
      <c r="B50" s="397"/>
      <c r="C50" s="397"/>
    </row>
    <row r="51" spans="1:6" ht="15.75" customHeight="1" x14ac:dyDescent="0.3"/>
    <row r="52" spans="1:6" ht="15.75" customHeight="1" x14ac:dyDescent="0.3"/>
    <row r="53" spans="1:6" ht="15.75" customHeight="1" x14ac:dyDescent="0.3"/>
  </sheetData>
  <mergeCells count="44">
    <mergeCell ref="A49:C49"/>
    <mergeCell ref="D49:F49"/>
    <mergeCell ref="A50:C50"/>
    <mergeCell ref="A43:F43"/>
    <mergeCell ref="A44:F44"/>
    <mergeCell ref="A45:F45"/>
    <mergeCell ref="A48:C48"/>
    <mergeCell ref="D48:F48"/>
    <mergeCell ref="A36:F36"/>
    <mergeCell ref="A37:F37"/>
    <mergeCell ref="A39:F39"/>
    <mergeCell ref="A40:F40"/>
    <mergeCell ref="A41:F41"/>
    <mergeCell ref="A31:F31"/>
    <mergeCell ref="A32:F32"/>
    <mergeCell ref="A33:F33"/>
    <mergeCell ref="A34:F34"/>
    <mergeCell ref="A35:F35"/>
    <mergeCell ref="A25:F25"/>
    <mergeCell ref="A26:F26"/>
    <mergeCell ref="A27:F27"/>
    <mergeCell ref="A28:F28"/>
    <mergeCell ref="A30:F30"/>
    <mergeCell ref="A19:F19"/>
    <mergeCell ref="A20:F20"/>
    <mergeCell ref="A21:F21"/>
    <mergeCell ref="A22:F22"/>
    <mergeCell ref="A23:F23"/>
    <mergeCell ref="A12:F12"/>
    <mergeCell ref="A14:F14"/>
    <mergeCell ref="A15:F15"/>
    <mergeCell ref="A17:F17"/>
    <mergeCell ref="A18:F18"/>
    <mergeCell ref="A6:F6"/>
    <mergeCell ref="A7:F7"/>
    <mergeCell ref="A8:F8"/>
    <mergeCell ref="A10:F10"/>
    <mergeCell ref="A11:F11"/>
    <mergeCell ref="A1:C1"/>
    <mergeCell ref="D1:F1"/>
    <mergeCell ref="A2:C2"/>
    <mergeCell ref="D2:F2"/>
    <mergeCell ref="A4:C4"/>
    <mergeCell ref="D4:F4"/>
  </mergeCells>
  <pageMargins left="0.5" right="0.5" top="0.4" bottom="0.4"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7030A0"/>
    <pageSetUpPr fitToPage="1"/>
  </sheetPr>
  <dimension ref="A1:F60"/>
  <sheetViews>
    <sheetView showGridLines="0" topLeftCell="A31" zoomScaleNormal="100" workbookViewId="0">
      <selection activeCell="A44" sqref="A44:F44"/>
    </sheetView>
  </sheetViews>
  <sheetFormatPr defaultColWidth="8.6640625" defaultRowHeight="14.4" x14ac:dyDescent="0.3"/>
  <cols>
    <col min="1" max="6" width="16" customWidth="1"/>
  </cols>
  <sheetData>
    <row r="1" spans="1:6" ht="15" customHeight="1" x14ac:dyDescent="0.3">
      <c r="A1" s="366" t="s">
        <v>1973</v>
      </c>
      <c r="B1" s="366"/>
      <c r="C1" s="366"/>
      <c r="D1" s="366" t="s">
        <v>244</v>
      </c>
      <c r="E1" s="366"/>
      <c r="F1" s="366"/>
    </row>
    <row r="2" spans="1:6" ht="15" customHeight="1" x14ac:dyDescent="0.3">
      <c r="A2" s="400"/>
      <c r="B2" s="400"/>
      <c r="C2" s="400"/>
      <c r="D2" s="401" t="s">
        <v>246</v>
      </c>
      <c r="E2" s="401"/>
      <c r="F2" s="401"/>
    </row>
    <row r="3" spans="1:6" ht="4.5" customHeight="1" x14ac:dyDescent="0.3"/>
    <row r="4" spans="1:6" ht="15.75" customHeight="1" x14ac:dyDescent="0.3">
      <c r="A4" s="402" t="s">
        <v>1974</v>
      </c>
      <c r="B4" s="402"/>
      <c r="C4" s="402"/>
      <c r="D4" s="403" t="s">
        <v>1975</v>
      </c>
      <c r="E4" s="403"/>
      <c r="F4" s="403"/>
    </row>
    <row r="5" spans="1:6" ht="7.5" customHeight="1" x14ac:dyDescent="0.3"/>
    <row r="6" spans="1:6" ht="18" customHeight="1" x14ac:dyDescent="0.3">
      <c r="A6" s="369" t="s">
        <v>1901</v>
      </c>
      <c r="B6" s="369"/>
      <c r="C6" s="369"/>
      <c r="D6" s="369"/>
      <c r="E6" s="369"/>
      <c r="F6" s="369"/>
    </row>
    <row r="7" spans="1:6" ht="15" customHeight="1" x14ac:dyDescent="0.3">
      <c r="A7" s="368" t="s">
        <v>1976</v>
      </c>
      <c r="B7" s="368"/>
      <c r="C7" s="368"/>
      <c r="D7" s="368"/>
      <c r="E7" s="368"/>
      <c r="F7" s="368"/>
    </row>
    <row r="8" spans="1:6" ht="15" customHeight="1" x14ac:dyDescent="0.3">
      <c r="A8" s="368" t="s">
        <v>1977</v>
      </c>
      <c r="B8" s="368"/>
      <c r="C8" s="368"/>
      <c r="D8" s="368"/>
      <c r="E8" s="368"/>
      <c r="F8" s="368"/>
    </row>
    <row r="9" spans="1:6" ht="6" customHeight="1" x14ac:dyDescent="0.3"/>
    <row r="10" spans="1:6" ht="15" customHeight="1" x14ac:dyDescent="0.3">
      <c r="A10" s="404" t="s">
        <v>1941</v>
      </c>
      <c r="B10" s="404"/>
      <c r="C10" s="404"/>
      <c r="D10" s="404"/>
      <c r="E10" s="404"/>
      <c r="F10" s="404"/>
    </row>
    <row r="11" spans="1:6" ht="15" customHeight="1" x14ac:dyDescent="0.3">
      <c r="A11" s="404" t="s">
        <v>1978</v>
      </c>
      <c r="B11" s="404"/>
      <c r="C11" s="404"/>
      <c r="D11" s="404"/>
      <c r="E11" s="404"/>
      <c r="F11" s="404"/>
    </row>
    <row r="12" spans="1:6" ht="15" customHeight="1" x14ac:dyDescent="0.3">
      <c r="A12" s="404" t="s">
        <v>1979</v>
      </c>
      <c r="B12" s="404"/>
      <c r="C12" s="404"/>
      <c r="D12" s="404"/>
      <c r="E12" s="404"/>
      <c r="F12" s="404"/>
    </row>
    <row r="13" spans="1:6" ht="6" customHeight="1" x14ac:dyDescent="0.3"/>
    <row r="14" spans="1:6" ht="15" customHeight="1" x14ac:dyDescent="0.3">
      <c r="A14" s="366" t="s">
        <v>1980</v>
      </c>
      <c r="B14" s="366"/>
      <c r="C14" s="366"/>
      <c r="D14" s="366"/>
      <c r="E14" s="366"/>
      <c r="F14" s="366"/>
    </row>
    <row r="15" spans="1:6" ht="15" customHeight="1" x14ac:dyDescent="0.3">
      <c r="A15" s="366" t="s">
        <v>1901</v>
      </c>
      <c r="B15" s="366"/>
      <c r="C15" s="366"/>
      <c r="D15" s="366"/>
      <c r="E15" s="366"/>
      <c r="F15" s="366"/>
    </row>
    <row r="16" spans="1:6" ht="6" customHeight="1" x14ac:dyDescent="0.3"/>
    <row r="17" spans="1:6" ht="19.5" customHeight="1" x14ac:dyDescent="0.3">
      <c r="A17" s="405" t="s">
        <v>1981</v>
      </c>
      <c r="B17" s="405"/>
      <c r="C17" s="405"/>
      <c r="D17" s="405"/>
      <c r="E17" s="405"/>
      <c r="F17" s="405"/>
    </row>
    <row r="18" spans="1:6" ht="19.5" customHeight="1" x14ac:dyDescent="0.3">
      <c r="A18" s="404" t="s">
        <v>1982</v>
      </c>
      <c r="B18" s="404"/>
      <c r="C18" s="404"/>
      <c r="D18" s="404"/>
      <c r="E18" s="404"/>
      <c r="F18" s="404"/>
    </row>
    <row r="19" spans="1:6" ht="19.5" customHeight="1" x14ac:dyDescent="0.3">
      <c r="A19" s="404" t="s">
        <v>1983</v>
      </c>
      <c r="B19" s="404"/>
      <c r="C19" s="404"/>
      <c r="D19" s="404"/>
      <c r="E19" s="404"/>
      <c r="F19" s="404"/>
    </row>
    <row r="20" spans="1:6" ht="19.5" customHeight="1" x14ac:dyDescent="0.3">
      <c r="A20" s="404" t="s">
        <v>1984</v>
      </c>
      <c r="B20" s="404"/>
      <c r="C20" s="404"/>
      <c r="D20" s="404"/>
      <c r="E20" s="404"/>
      <c r="F20" s="404"/>
    </row>
    <row r="21" spans="1:6" ht="19.5" customHeight="1" x14ac:dyDescent="0.3">
      <c r="A21" s="404" t="s">
        <v>1985</v>
      </c>
      <c r="B21" s="404"/>
      <c r="C21" s="404"/>
      <c r="D21" s="404"/>
      <c r="E21" s="404"/>
      <c r="F21" s="404"/>
    </row>
    <row r="22" spans="1:6" ht="19.5" customHeight="1" x14ac:dyDescent="0.3">
      <c r="A22" s="404" t="s">
        <v>1986</v>
      </c>
      <c r="B22" s="404"/>
      <c r="C22" s="404"/>
      <c r="D22" s="404"/>
      <c r="E22" s="404"/>
      <c r="F22" s="404"/>
    </row>
    <row r="23" spans="1:6" ht="19.5" customHeight="1" x14ac:dyDescent="0.3">
      <c r="A23" s="404" t="s">
        <v>1987</v>
      </c>
      <c r="B23" s="404"/>
      <c r="C23" s="404"/>
      <c r="D23" s="404"/>
      <c r="E23" s="404"/>
      <c r="F23" s="404"/>
    </row>
    <row r="24" spans="1:6" ht="19.5" customHeight="1" x14ac:dyDescent="0.3">
      <c r="A24" s="405" t="s">
        <v>1988</v>
      </c>
      <c r="B24" s="405"/>
      <c r="C24" s="405"/>
      <c r="D24" s="405"/>
      <c r="E24" s="405"/>
      <c r="F24" s="405"/>
    </row>
    <row r="25" spans="1:6" ht="19.5" customHeight="1" x14ac:dyDescent="0.3">
      <c r="A25" s="405" t="s">
        <v>1989</v>
      </c>
      <c r="B25" s="405"/>
      <c r="C25" s="405"/>
      <c r="D25" s="405"/>
      <c r="E25" s="405"/>
      <c r="F25" s="405"/>
    </row>
    <row r="26" spans="1:6" ht="19.5" customHeight="1" x14ac:dyDescent="0.3">
      <c r="A26" s="404" t="s">
        <v>1990</v>
      </c>
      <c r="B26" s="404"/>
      <c r="C26" s="404"/>
      <c r="D26" s="404"/>
      <c r="E26" s="404"/>
      <c r="F26" s="404"/>
    </row>
    <row r="27" spans="1:6" ht="19.5" customHeight="1" x14ac:dyDescent="0.3">
      <c r="A27" s="404" t="s">
        <v>1991</v>
      </c>
      <c r="B27" s="404"/>
      <c r="C27" s="404"/>
      <c r="D27" s="404"/>
      <c r="E27" s="404"/>
      <c r="F27" s="404"/>
    </row>
    <row r="28" spans="1:6" ht="19.5" customHeight="1" x14ac:dyDescent="0.3">
      <c r="A28" s="404" t="s">
        <v>1992</v>
      </c>
      <c r="B28" s="404"/>
      <c r="C28" s="404"/>
      <c r="D28" s="404"/>
      <c r="E28" s="404"/>
      <c r="F28" s="404"/>
    </row>
    <row r="29" spans="1:6" ht="19.5" customHeight="1" x14ac:dyDescent="0.3">
      <c r="A29" s="404" t="s">
        <v>1993</v>
      </c>
      <c r="B29" s="404"/>
      <c r="C29" s="404"/>
      <c r="D29" s="404"/>
      <c r="E29" s="404"/>
      <c r="F29" s="404"/>
    </row>
    <row r="30" spans="1:6" ht="19.5" customHeight="1" x14ac:dyDescent="0.3">
      <c r="A30" s="405" t="s">
        <v>1994</v>
      </c>
      <c r="B30" s="405"/>
      <c r="C30" s="405"/>
      <c r="D30" s="405"/>
      <c r="E30" s="405"/>
      <c r="F30" s="405"/>
    </row>
    <row r="31" spans="1:6" ht="19.5" customHeight="1" x14ac:dyDescent="0.3">
      <c r="A31" s="404" t="s">
        <v>1995</v>
      </c>
      <c r="B31" s="404"/>
      <c r="C31" s="404"/>
      <c r="D31" s="404"/>
      <c r="E31" s="404"/>
      <c r="F31" s="404"/>
    </row>
    <row r="32" spans="1:6" ht="19.5" customHeight="1" x14ac:dyDescent="0.3">
      <c r="A32" s="404" t="s">
        <v>1996</v>
      </c>
      <c r="B32" s="404"/>
      <c r="C32" s="404"/>
      <c r="D32" s="404"/>
      <c r="E32" s="404"/>
      <c r="F32" s="404"/>
    </row>
    <row r="33" spans="1:6" ht="19.5" customHeight="1" x14ac:dyDescent="0.3">
      <c r="A33" s="404" t="s">
        <v>1997</v>
      </c>
      <c r="B33" s="404"/>
      <c r="C33" s="404"/>
      <c r="D33" s="404"/>
      <c r="E33" s="404"/>
      <c r="F33" s="404"/>
    </row>
    <row r="34" spans="1:6" ht="19.5" customHeight="1" x14ac:dyDescent="0.3">
      <c r="A34" s="404" t="s">
        <v>1998</v>
      </c>
      <c r="B34" s="404"/>
      <c r="C34" s="404"/>
      <c r="D34" s="404"/>
      <c r="E34" s="404"/>
      <c r="F34" s="404"/>
    </row>
    <row r="35" spans="1:6" ht="19.5" customHeight="1" x14ac:dyDescent="0.3">
      <c r="A35" s="405" t="s">
        <v>1999</v>
      </c>
      <c r="B35" s="405"/>
      <c r="C35" s="405"/>
      <c r="D35" s="405"/>
      <c r="E35" s="405"/>
      <c r="F35" s="405"/>
    </row>
    <row r="36" spans="1:6" ht="19.5" customHeight="1" x14ac:dyDescent="0.3">
      <c r="A36" s="404" t="s">
        <v>2000</v>
      </c>
      <c r="B36" s="404"/>
      <c r="C36" s="404"/>
      <c r="D36" s="404"/>
      <c r="E36" s="404"/>
      <c r="F36" s="404"/>
    </row>
    <row r="37" spans="1:6" ht="19.5" customHeight="1" x14ac:dyDescent="0.3">
      <c r="A37" s="404" t="s">
        <v>2001</v>
      </c>
      <c r="B37" s="404"/>
      <c r="C37" s="404"/>
      <c r="D37" s="404"/>
      <c r="E37" s="404"/>
      <c r="F37" s="404"/>
    </row>
    <row r="38" spans="1:6" ht="19.5" customHeight="1" x14ac:dyDescent="0.3">
      <c r="A38" s="405" t="s">
        <v>2002</v>
      </c>
      <c r="B38" s="405"/>
      <c r="C38" s="405"/>
      <c r="D38" s="405"/>
      <c r="E38" s="405"/>
      <c r="F38" s="405"/>
    </row>
    <row r="39" spans="1:6" ht="19.5" customHeight="1" x14ac:dyDescent="0.3">
      <c r="A39" s="404" t="s">
        <v>2003</v>
      </c>
      <c r="B39" s="404"/>
      <c r="C39" s="404"/>
      <c r="D39" s="404"/>
      <c r="E39" s="404"/>
      <c r="F39" s="404"/>
    </row>
    <row r="40" spans="1:6" ht="19.5" customHeight="1" x14ac:dyDescent="0.3">
      <c r="A40" s="404" t="s">
        <v>2004</v>
      </c>
      <c r="B40" s="404"/>
      <c r="C40" s="404"/>
      <c r="D40" s="404"/>
      <c r="E40" s="404"/>
      <c r="F40" s="404"/>
    </row>
    <row r="41" spans="1:6" ht="19.5" customHeight="1" x14ac:dyDescent="0.3">
      <c r="A41" s="404" t="s">
        <v>2005</v>
      </c>
      <c r="B41" s="404"/>
      <c r="C41" s="404"/>
      <c r="D41" s="404"/>
      <c r="E41" s="404"/>
      <c r="F41" s="404"/>
    </row>
    <row r="42" spans="1:6" ht="19.5" customHeight="1" x14ac:dyDescent="0.3">
      <c r="A42" s="405" t="s">
        <v>2006</v>
      </c>
      <c r="B42" s="405"/>
      <c r="C42" s="405"/>
      <c r="D42" s="405"/>
      <c r="E42" s="405"/>
      <c r="F42" s="405"/>
    </row>
    <row r="43" spans="1:6" ht="19.5" customHeight="1" x14ac:dyDescent="0.3">
      <c r="A43" s="404" t="s">
        <v>2007</v>
      </c>
      <c r="B43" s="404"/>
      <c r="C43" s="404"/>
      <c r="D43" s="404"/>
      <c r="E43" s="404"/>
      <c r="F43" s="404"/>
    </row>
    <row r="44" spans="1:6" ht="19.5" customHeight="1" x14ac:dyDescent="0.3">
      <c r="A44" s="404" t="s">
        <v>2008</v>
      </c>
      <c r="B44" s="404"/>
      <c r="C44" s="404"/>
      <c r="D44" s="404"/>
      <c r="E44" s="404"/>
      <c r="F44" s="404"/>
    </row>
    <row r="45" spans="1:6" ht="19.5" customHeight="1" x14ac:dyDescent="0.3">
      <c r="A45" s="404" t="s">
        <v>2009</v>
      </c>
      <c r="B45" s="404"/>
      <c r="C45" s="404"/>
      <c r="D45" s="404"/>
      <c r="E45" s="404"/>
      <c r="F45" s="404"/>
    </row>
    <row r="46" spans="1:6" ht="19.5" customHeight="1" x14ac:dyDescent="0.3">
      <c r="A46" s="404" t="s">
        <v>2010</v>
      </c>
      <c r="B46" s="404"/>
      <c r="C46" s="404"/>
      <c r="D46" s="404"/>
      <c r="E46" s="404"/>
      <c r="F46" s="404"/>
    </row>
    <row r="47" spans="1:6" ht="19.5" customHeight="1" x14ac:dyDescent="0.3">
      <c r="A47" s="405" t="s">
        <v>2011</v>
      </c>
      <c r="B47" s="405"/>
      <c r="C47" s="405"/>
      <c r="D47" s="405"/>
      <c r="E47" s="405"/>
      <c r="F47" s="405"/>
    </row>
    <row r="48" spans="1:6" ht="19.5" customHeight="1" x14ac:dyDescent="0.3">
      <c r="A48" s="404" t="s">
        <v>1965</v>
      </c>
      <c r="B48" s="404"/>
      <c r="C48" s="404"/>
      <c r="D48" s="404"/>
      <c r="E48" s="404"/>
      <c r="F48" s="404"/>
    </row>
    <row r="49" spans="1:6" ht="19.5" customHeight="1" x14ac:dyDescent="0.3">
      <c r="A49" s="404" t="s">
        <v>1966</v>
      </c>
      <c r="B49" s="404"/>
      <c r="C49" s="404"/>
      <c r="D49" s="404"/>
      <c r="E49" s="404"/>
      <c r="F49" s="404"/>
    </row>
    <row r="50" spans="1:6" ht="19.5" customHeight="1" x14ac:dyDescent="0.3">
      <c r="A50" s="405" t="s">
        <v>2012</v>
      </c>
      <c r="B50" s="405"/>
      <c r="C50" s="405"/>
      <c r="D50" s="405"/>
      <c r="E50" s="405"/>
      <c r="F50" s="405"/>
    </row>
    <row r="51" spans="1:6" ht="19.5" customHeight="1" x14ac:dyDescent="0.3">
      <c r="A51" s="404" t="s">
        <v>2013</v>
      </c>
      <c r="B51" s="404"/>
      <c r="C51" s="404"/>
      <c r="D51" s="404"/>
      <c r="E51" s="404"/>
      <c r="F51" s="404"/>
    </row>
    <row r="52" spans="1:6" ht="19.5" customHeight="1" x14ac:dyDescent="0.3">
      <c r="A52" s="404" t="s">
        <v>1969</v>
      </c>
      <c r="B52" s="404"/>
      <c r="C52" s="404"/>
      <c r="D52" s="404"/>
      <c r="E52" s="404"/>
      <c r="F52" s="404"/>
    </row>
    <row r="53" spans="1:6" ht="19.5" customHeight="1" x14ac:dyDescent="0.3"/>
    <row r="54" spans="1:6" ht="19.5" customHeight="1" x14ac:dyDescent="0.3"/>
    <row r="55" spans="1:6" ht="19.5" customHeight="1" x14ac:dyDescent="0.3">
      <c r="A55" s="408" t="s">
        <v>1932</v>
      </c>
      <c r="B55" s="408"/>
      <c r="C55" s="408"/>
      <c r="D55" s="366" t="s">
        <v>195</v>
      </c>
      <c r="E55" s="366"/>
      <c r="F55" s="366"/>
    </row>
    <row r="56" spans="1:6" ht="19.5" customHeight="1" x14ac:dyDescent="0.3">
      <c r="A56" s="406" t="s">
        <v>1933</v>
      </c>
      <c r="B56" s="406"/>
      <c r="C56" s="406"/>
      <c r="D56" s="407" t="s">
        <v>1971</v>
      </c>
      <c r="E56" s="407"/>
      <c r="F56" s="407"/>
    </row>
    <row r="57" spans="1:6" ht="19.5" customHeight="1" x14ac:dyDescent="0.3">
      <c r="A57" s="406" t="s">
        <v>1972</v>
      </c>
      <c r="B57" s="406"/>
      <c r="C57" s="406"/>
    </row>
    <row r="58" spans="1:6" ht="15.75" customHeight="1" x14ac:dyDescent="0.3"/>
    <row r="59" spans="1:6" ht="15.75" customHeight="1" x14ac:dyDescent="0.3"/>
    <row r="60" spans="1:6" ht="15.75" customHeight="1" x14ac:dyDescent="0.3"/>
  </sheetData>
  <mergeCells count="55">
    <mergeCell ref="A56:C56"/>
    <mergeCell ref="D56:F56"/>
    <mergeCell ref="A57:C57"/>
    <mergeCell ref="A49:F49"/>
    <mergeCell ref="A50:F50"/>
    <mergeCell ref="A51:F51"/>
    <mergeCell ref="A52:F52"/>
    <mergeCell ref="A55:C55"/>
    <mergeCell ref="D55:F55"/>
    <mergeCell ref="A44:F44"/>
    <mergeCell ref="A45:F45"/>
    <mergeCell ref="A46:F46"/>
    <mergeCell ref="A47:F47"/>
    <mergeCell ref="A48:F48"/>
    <mergeCell ref="A39:F39"/>
    <mergeCell ref="A40:F40"/>
    <mergeCell ref="A41:F41"/>
    <mergeCell ref="A42:F42"/>
    <mergeCell ref="A43:F43"/>
    <mergeCell ref="A34:F34"/>
    <mergeCell ref="A35:F35"/>
    <mergeCell ref="A36:F36"/>
    <mergeCell ref="A37:F37"/>
    <mergeCell ref="A38:F38"/>
    <mergeCell ref="A29:F29"/>
    <mergeCell ref="A30:F30"/>
    <mergeCell ref="A31:F31"/>
    <mergeCell ref="A32:F32"/>
    <mergeCell ref="A33:F33"/>
    <mergeCell ref="A24:F24"/>
    <mergeCell ref="A25:F25"/>
    <mergeCell ref="A26:F26"/>
    <mergeCell ref="A27:F27"/>
    <mergeCell ref="A28:F28"/>
    <mergeCell ref="A19:F19"/>
    <mergeCell ref="A20:F20"/>
    <mergeCell ref="A21:F21"/>
    <mergeCell ref="A22:F22"/>
    <mergeCell ref="A23:F23"/>
    <mergeCell ref="A12:F12"/>
    <mergeCell ref="A14:F14"/>
    <mergeCell ref="A15:F15"/>
    <mergeCell ref="A17:F17"/>
    <mergeCell ref="A18:F18"/>
    <mergeCell ref="A6:F6"/>
    <mergeCell ref="A7:F7"/>
    <mergeCell ref="A8:F8"/>
    <mergeCell ref="A10:F10"/>
    <mergeCell ref="A11:F11"/>
    <mergeCell ref="A1:C1"/>
    <mergeCell ref="D1:F1"/>
    <mergeCell ref="A2:C2"/>
    <mergeCell ref="D2:F2"/>
    <mergeCell ref="A4:C4"/>
    <mergeCell ref="D4:F4"/>
  </mergeCells>
  <pageMargins left="0.5" right="0.5" top="0.4" bottom="0.4"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20</vt:i4>
      </vt:variant>
      <vt:variant>
        <vt:lpstr>Named Ranges</vt:lpstr>
      </vt:variant>
      <vt:variant>
        <vt:i4>18</vt:i4>
      </vt:variant>
    </vt:vector>
  </HeadingPairs>
  <TitlesOfParts>
    <vt:vector size="38" baseType="lpstr">
      <vt:lpstr>Mức lương</vt:lpstr>
      <vt:lpstr>BCC</vt:lpstr>
      <vt:lpstr>Thưởng KPI+Định mức</vt:lpstr>
      <vt:lpstr>Người phụ thuộc</vt:lpstr>
      <vt:lpstr>BHXH</vt:lpstr>
      <vt:lpstr>Thuế TNCN</vt:lpstr>
      <vt:lpstr>Bảng lương</vt:lpstr>
      <vt:lpstr>Phiếu lương</vt:lpstr>
      <vt:lpstr>DS số TKNH</vt:lpstr>
      <vt:lpstr>HĐ LAO ĐỘNG VP</vt:lpstr>
      <vt:lpstr>HĐ LAO ĐỘNG LX</vt:lpstr>
      <vt:lpstr>NỘI QUY LAO ĐỘNG</vt:lpstr>
      <vt:lpstr>QUY CHẾ TIỀN LƯƠNG LX THEO DT</vt:lpstr>
      <vt:lpstr>QUY CHẾ LƯƠNG LX THEO CHUYẾN</vt:lpstr>
      <vt:lpstr>QUY CHẾ LƯƠNG VP</vt:lpstr>
      <vt:lpstr>TH_QUY CHẾ LƯƠNG (1 trang in)</vt:lpstr>
      <vt:lpstr>THANG BẢNG LƯƠNG</vt:lpstr>
      <vt:lpstr>QĐ TRẢ LƯƠNG</vt:lpstr>
      <vt:lpstr>QĐ Lương NVKD</vt:lpstr>
      <vt:lpstr>QĐ Lương Lái xe</vt:lpstr>
      <vt:lpstr>NgayCongChuan</vt:lpstr>
      <vt:lpstr>'Bảng lương'!Print_Area</vt:lpstr>
      <vt:lpstr>BCC!Print_Area</vt:lpstr>
      <vt:lpstr>BHXH!Print_Area</vt:lpstr>
      <vt:lpstr>'HĐ LAO ĐỘNG LX'!Print_Area</vt:lpstr>
      <vt:lpstr>'HĐ LAO ĐỘNG VP'!Print_Area</vt:lpstr>
      <vt:lpstr>'Mức lương'!Print_Area</vt:lpstr>
      <vt:lpstr>'NỘI QUY LAO ĐỘNG'!Print_Area</vt:lpstr>
      <vt:lpstr>'Phiếu lương'!Print_Area</vt:lpstr>
      <vt:lpstr>'QĐ Lương Lái xe'!Print_Area</vt:lpstr>
      <vt:lpstr>'QĐ Lương NVKD'!Print_Area</vt:lpstr>
      <vt:lpstr>'QUY CHẾ LƯƠNG LX THEO CHUYẾN'!Print_Area</vt:lpstr>
      <vt:lpstr>'QUY CHẾ LƯƠNG VP'!Print_Area</vt:lpstr>
      <vt:lpstr>'QUY CHẾ TIỀN LƯƠNG LX THEO DT'!Print_Area</vt:lpstr>
      <vt:lpstr>'TH_QUY CHẾ LƯƠNG (1 trang in)'!Print_Area</vt:lpstr>
      <vt:lpstr>'Thuế TNCN'!Print_Area</vt:lpstr>
      <vt:lpstr>'Thưởng KPI+Định mức'!Print_Area</vt:lpstr>
      <vt:lpstr>'Bảng lương'!Print_Titles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Optiplex 790</dc:creator>
  <dc:description/>
  <cp:lastModifiedBy>Administrator</cp:lastModifiedBy>
  <cp:revision>0</cp:revision>
  <cp:lastPrinted>2026-09-10T05:17:32Z</cp:lastPrinted>
  <dcterms:created xsi:type="dcterms:W3CDTF">2020-07-06T06:39:46Z</dcterms:created>
  <dcterms:modified xsi:type="dcterms:W3CDTF">2026-10-10T09:37:26Z</dcterms:modified>
  <dc:language>en-US</dc:language>
</cp:coreProperties>
</file>